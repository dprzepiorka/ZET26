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N:\ksiz\STUDIA_DOKTORANCKIE\PRZEPIORKA\Artykuły\ZET 2026\Badania\results\"/>
    </mc:Choice>
  </mc:AlternateContent>
  <xr:revisionPtr revIDLastSave="0" documentId="13_ncr:1_{C9B900E8-460C-4D4E-A5EA-F0377DA893B3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control_config" sheetId="1" r:id="rId1"/>
    <sheet name="loads_input" sheetId="2" r:id="rId2"/>
    <sheet name="pv_input" sheetId="3" r:id="rId3"/>
    <sheet name="other_generators_input" sheetId="4" r:id="rId4"/>
    <sheet name="storage_input" sheetId="5" r:id="rId5"/>
    <sheet name="node_voltages" sheetId="6" r:id="rId6"/>
    <sheet name="node_sequence_components" sheetId="7" r:id="rId7"/>
    <sheet name="transformer_phase_results" sheetId="8" r:id="rId8"/>
    <sheet name="pv_setpoints" sheetId="9" r:id="rId9"/>
    <sheet name="storage_setpoints" sheetId="10" r:id="rId10"/>
    <sheet name="branch_losses" sheetId="11" r:id="rId11"/>
    <sheet name="indicator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6" l="1"/>
  <c r="Z27" i="6"/>
  <c r="Y27" i="6"/>
  <c r="AA26" i="6"/>
  <c r="Z26" i="6"/>
  <c r="Y26" i="6"/>
  <c r="AA25" i="6"/>
  <c r="Z25" i="6"/>
  <c r="Y25" i="6"/>
  <c r="AA24" i="6"/>
  <c r="Z24" i="6"/>
  <c r="Y24" i="6"/>
  <c r="AA23" i="6"/>
  <c r="Z23" i="6"/>
  <c r="Y23" i="6"/>
  <c r="AA22" i="6"/>
  <c r="Z22" i="6"/>
  <c r="Y22" i="6"/>
  <c r="AA21" i="6"/>
  <c r="Z21" i="6"/>
  <c r="Y21" i="6"/>
  <c r="AA20" i="6"/>
  <c r="Z20" i="6"/>
  <c r="Y20" i="6"/>
  <c r="AA19" i="6"/>
  <c r="Z19" i="6"/>
  <c r="Y19" i="6"/>
  <c r="AA18" i="6"/>
  <c r="Z18" i="6"/>
  <c r="Y18" i="6"/>
  <c r="AA17" i="6"/>
  <c r="Z17" i="6"/>
  <c r="Y17" i="6"/>
  <c r="AA16" i="6"/>
  <c r="Z16" i="6"/>
  <c r="Y16" i="6"/>
  <c r="AA15" i="6"/>
  <c r="Z15" i="6"/>
  <c r="Y15" i="6"/>
  <c r="AA14" i="6"/>
  <c r="Z14" i="6"/>
  <c r="Y14" i="6"/>
  <c r="AA13" i="6"/>
  <c r="Z13" i="6"/>
  <c r="Y13" i="6"/>
  <c r="AA12" i="6"/>
  <c r="Z12" i="6"/>
  <c r="Y12" i="6"/>
  <c r="AA11" i="6"/>
  <c r="Z11" i="6"/>
  <c r="Y11" i="6"/>
  <c r="AA10" i="6"/>
  <c r="Z10" i="6"/>
  <c r="Y10" i="6"/>
  <c r="AA9" i="6"/>
  <c r="Z9" i="6"/>
  <c r="Y9" i="6"/>
  <c r="AA8" i="6"/>
  <c r="Z8" i="6"/>
  <c r="Y8" i="6"/>
  <c r="AA7" i="6"/>
  <c r="Z7" i="6"/>
  <c r="Y7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</calcChain>
</file>

<file path=xl/sharedStrings.xml><?xml version="1.0" encoding="utf-8"?>
<sst xmlns="http://schemas.openxmlformats.org/spreadsheetml/2006/main" count="1602" uniqueCount="715">
  <si>
    <t>parameter</t>
  </si>
  <si>
    <t>value</t>
  </si>
  <si>
    <t>VOLTAGE_MIN_PU</t>
  </si>
  <si>
    <t>TARGET_VOLTAGE_PU</t>
  </si>
  <si>
    <t>VOLTAGE_MAX_PU</t>
  </si>
  <si>
    <t>U_MIN_ALLOWED_OBJ</t>
  </si>
  <si>
    <t>U_MAX_ALLOWED_OBJ</t>
  </si>
  <si>
    <t>LOADING_MAX_PERCENT</t>
  </si>
  <si>
    <t>P_STORAGE_TOTAL_MAX_KW</t>
  </si>
  <si>
    <t>P_STORAGE_PHASE_MAX_KW</t>
  </si>
  <si>
    <t>P_EXPORT_REF_KW</t>
  </si>
  <si>
    <t>ALLOW_STORAGE_CHARGE</t>
  </si>
  <si>
    <t>ALLOW_STORAGE_DISCHARGE</t>
  </si>
  <si>
    <t>KEEP_INITIAL_STORAGE_Q</t>
  </si>
  <si>
    <t>NONCONVERGENCE_PENALTY</t>
  </si>
  <si>
    <t>PSO_N_PARTICLES</t>
  </si>
  <si>
    <t>PSO_N_ITER</t>
  </si>
  <si>
    <t>W_CRIT_U</t>
  </si>
  <si>
    <t>W_CRIT_VU</t>
  </si>
  <si>
    <t>W_CRIT_L</t>
  </si>
  <si>
    <t>W_CRIT_PEN</t>
  </si>
  <si>
    <t>W_CRIT_CTRL</t>
  </si>
  <si>
    <t>W_TRAFO_EXP</t>
  </si>
  <si>
    <t>W_TRAFO_I</t>
  </si>
  <si>
    <t>W_TRAFO_IMP</t>
  </si>
  <si>
    <t>W_TRAFO_ULIM</t>
  </si>
  <si>
    <t>W_TRAFO_L</t>
  </si>
  <si>
    <t>W_TRAFO_CTRL</t>
  </si>
  <si>
    <t>PSO_W</t>
  </si>
  <si>
    <t>PSO_C1</t>
  </si>
  <si>
    <t>PSO_C2</t>
  </si>
  <si>
    <t>PSO_RANDOM_SEED</t>
  </si>
  <si>
    <t>name</t>
  </si>
  <si>
    <t>type</t>
  </si>
  <si>
    <t>P1_kW</t>
  </si>
  <si>
    <t>P2_kW</t>
  </si>
  <si>
    <t>P3_kW</t>
  </si>
  <si>
    <t>Q1_kvar</t>
  </si>
  <si>
    <t>Q2_kvar</t>
  </si>
  <si>
    <t>Q3_kvar</t>
  </si>
  <si>
    <t>LD10</t>
  </si>
  <si>
    <t>load</t>
  </si>
  <si>
    <t>LD102</t>
  </si>
  <si>
    <t>LD103</t>
  </si>
  <si>
    <t>LD104</t>
  </si>
  <si>
    <t>LD106</t>
  </si>
  <si>
    <t>LD107</t>
  </si>
  <si>
    <t>LD11</t>
  </si>
  <si>
    <t>LD110</t>
  </si>
  <si>
    <t>LD112</t>
  </si>
  <si>
    <t>LD113</t>
  </si>
  <si>
    <t>LD114</t>
  </si>
  <si>
    <t>LD115</t>
  </si>
  <si>
    <t>LD116</t>
  </si>
  <si>
    <t>LD12</t>
  </si>
  <si>
    <t>LD13</t>
  </si>
  <si>
    <t>LD21</t>
  </si>
  <si>
    <t>LD25</t>
  </si>
  <si>
    <t>LD26</t>
  </si>
  <si>
    <t>LD29</t>
  </si>
  <si>
    <t>LD30</t>
  </si>
  <si>
    <t>LD33</t>
  </si>
  <si>
    <t>LD34</t>
  </si>
  <si>
    <t>LD37</t>
  </si>
  <si>
    <t>LD39</t>
  </si>
  <si>
    <t>LD40</t>
  </si>
  <si>
    <t>LD42</t>
  </si>
  <si>
    <t>LD45</t>
  </si>
  <si>
    <t>LD46</t>
  </si>
  <si>
    <t>LD47</t>
  </si>
  <si>
    <t>LD49</t>
  </si>
  <si>
    <t>LD5</t>
  </si>
  <si>
    <t>LD50</t>
  </si>
  <si>
    <t>LD52</t>
  </si>
  <si>
    <t>LD54</t>
  </si>
  <si>
    <t>LD57</t>
  </si>
  <si>
    <t>LD60</t>
  </si>
  <si>
    <t>LD62</t>
  </si>
  <si>
    <t>LD64</t>
  </si>
  <si>
    <t>LD66</t>
  </si>
  <si>
    <t>LD67</t>
  </si>
  <si>
    <t>LD7</t>
  </si>
  <si>
    <t>LD72</t>
  </si>
  <si>
    <t>LD73</t>
  </si>
  <si>
    <t>LD75</t>
  </si>
  <si>
    <t>LD76</t>
  </si>
  <si>
    <t>LD77</t>
  </si>
  <si>
    <t>LD80</t>
  </si>
  <si>
    <t>LD81</t>
  </si>
  <si>
    <t>LD83</t>
  </si>
  <si>
    <t>LD87</t>
  </si>
  <si>
    <t>LD88</t>
  </si>
  <si>
    <t>LD93</t>
  </si>
  <si>
    <t>LD95</t>
  </si>
  <si>
    <t>LD96</t>
  </si>
  <si>
    <t>LD97</t>
  </si>
  <si>
    <t>P_kW</t>
  </si>
  <si>
    <t>Q_kvar</t>
  </si>
  <si>
    <t>Smax_kVA</t>
  </si>
  <si>
    <t>control_mode</t>
  </si>
  <si>
    <t>cosphi</t>
  </si>
  <si>
    <t>PV102F1</t>
  </si>
  <si>
    <t>pv</t>
  </si>
  <si>
    <t>constq</t>
  </si>
  <si>
    <t>PV102F2</t>
  </si>
  <si>
    <t>PV102F3</t>
  </si>
  <si>
    <t>PV103F1</t>
  </si>
  <si>
    <t>PV103F2</t>
  </si>
  <si>
    <t>PV103F3</t>
  </si>
  <si>
    <t>PV104F1</t>
  </si>
  <si>
    <t>PV104F2</t>
  </si>
  <si>
    <t>PV104F3</t>
  </si>
  <si>
    <t>PV106F1</t>
  </si>
  <si>
    <t>PV106F2</t>
  </si>
  <si>
    <t>PV106F3</t>
  </si>
  <si>
    <t>PV107F1</t>
  </si>
  <si>
    <t>PV107F2</t>
  </si>
  <si>
    <t>PV107F3</t>
  </si>
  <si>
    <t>PV10F1</t>
  </si>
  <si>
    <t>PV10F2</t>
  </si>
  <si>
    <t>PV10F3</t>
  </si>
  <si>
    <t>PV110F1</t>
  </si>
  <si>
    <t>PV110F2</t>
  </si>
  <si>
    <t>PV110F3</t>
  </si>
  <si>
    <t>PV112F1</t>
  </si>
  <si>
    <t>PV112F2</t>
  </si>
  <si>
    <t>PV112F3</t>
  </si>
  <si>
    <t>PV113F1</t>
  </si>
  <si>
    <t>PV113F2</t>
  </si>
  <si>
    <t>PV113F3</t>
  </si>
  <si>
    <t>PV114F1</t>
  </si>
  <si>
    <t>PV114F2</t>
  </si>
  <si>
    <t>PV114F3</t>
  </si>
  <si>
    <t>PV115F1</t>
  </si>
  <si>
    <t>PV115F2</t>
  </si>
  <si>
    <t>PV115F3</t>
  </si>
  <si>
    <t>PV116F1</t>
  </si>
  <si>
    <t>PV116F2</t>
  </si>
  <si>
    <t>PV116F3</t>
  </si>
  <si>
    <t>PV11F1</t>
  </si>
  <si>
    <t>PV11F2</t>
  </si>
  <si>
    <t>PV11F3</t>
  </si>
  <si>
    <t>PV12F1</t>
  </si>
  <si>
    <t>PV12F2</t>
  </si>
  <si>
    <t>PV12F3</t>
  </si>
  <si>
    <t>PV13F1</t>
  </si>
  <si>
    <t>PV13F2</t>
  </si>
  <si>
    <t>PV13F3</t>
  </si>
  <si>
    <t>PV21F1</t>
  </si>
  <si>
    <t>PV21F2</t>
  </si>
  <si>
    <t>PV21F3</t>
  </si>
  <si>
    <t>PV25F1</t>
  </si>
  <si>
    <t>PV25F2</t>
  </si>
  <si>
    <t>PV25F3</t>
  </si>
  <si>
    <t>PV26F1</t>
  </si>
  <si>
    <t>PV26F2</t>
  </si>
  <si>
    <t>PV26F3</t>
  </si>
  <si>
    <t>PV29F1</t>
  </si>
  <si>
    <t>PV29F2</t>
  </si>
  <si>
    <t>PV29F3</t>
  </si>
  <si>
    <t>PV30F1</t>
  </si>
  <si>
    <t>PV30F2</t>
  </si>
  <si>
    <t>PV30F3</t>
  </si>
  <si>
    <t>PV33F1</t>
  </si>
  <si>
    <t>PV33F2</t>
  </si>
  <si>
    <t>PV33F3</t>
  </si>
  <si>
    <t>PV34F1</t>
  </si>
  <si>
    <t>PV34F2</t>
  </si>
  <si>
    <t>PV34F3</t>
  </si>
  <si>
    <t>PV37F1</t>
  </si>
  <si>
    <t>PV37F2</t>
  </si>
  <si>
    <t>PV37F3</t>
  </si>
  <si>
    <t>PV39F1</t>
  </si>
  <si>
    <t>PV39F2</t>
  </si>
  <si>
    <t>PV39F3</t>
  </si>
  <si>
    <t>PV40F1</t>
  </si>
  <si>
    <t>PV40F2</t>
  </si>
  <si>
    <t>PV40F3</t>
  </si>
  <si>
    <t>PV42F1</t>
  </si>
  <si>
    <t>PV42F2</t>
  </si>
  <si>
    <t>PV42F3</t>
  </si>
  <si>
    <t>PV45F1</t>
  </si>
  <si>
    <t>PV45F2</t>
  </si>
  <si>
    <t>PV45F3</t>
  </si>
  <si>
    <t>PV46F1</t>
  </si>
  <si>
    <t>PV46F2</t>
  </si>
  <si>
    <t>PV46F3</t>
  </si>
  <si>
    <t>PV47F1</t>
  </si>
  <si>
    <t>PV47F2</t>
  </si>
  <si>
    <t>PV47F3</t>
  </si>
  <si>
    <t>PV49F1</t>
  </si>
  <si>
    <t>PV49F2</t>
  </si>
  <si>
    <t>PV49F3</t>
  </si>
  <si>
    <t>PV50F1</t>
  </si>
  <si>
    <t>PV50F2</t>
  </si>
  <si>
    <t>PV50F3</t>
  </si>
  <si>
    <t>PV52F1</t>
  </si>
  <si>
    <t>PV52F2</t>
  </si>
  <si>
    <t>PV52F3</t>
  </si>
  <si>
    <t>PV54F1</t>
  </si>
  <si>
    <t>PV54F2</t>
  </si>
  <si>
    <t>PV54F3</t>
  </si>
  <si>
    <t>PV57F1</t>
  </si>
  <si>
    <t>PV57F2</t>
  </si>
  <si>
    <t>PV57F3</t>
  </si>
  <si>
    <t>PV5F1</t>
  </si>
  <si>
    <t>PV5F2</t>
  </si>
  <si>
    <t>PV5F3</t>
  </si>
  <si>
    <t>PV60F1</t>
  </si>
  <si>
    <t>PV60F2</t>
  </si>
  <si>
    <t>PV60F3</t>
  </si>
  <si>
    <t>PV62F1</t>
  </si>
  <si>
    <t>PV62F2</t>
  </si>
  <si>
    <t>PV62F3</t>
  </si>
  <si>
    <t>PV64F1</t>
  </si>
  <si>
    <t>PV64F2</t>
  </si>
  <si>
    <t>PV64F3</t>
  </si>
  <si>
    <t>PV66F1</t>
  </si>
  <si>
    <t>PV66F2</t>
  </si>
  <si>
    <t>PV66F3</t>
  </si>
  <si>
    <t>PV67F1</t>
  </si>
  <si>
    <t>PV67F2</t>
  </si>
  <si>
    <t>PV67F3</t>
  </si>
  <si>
    <t>PV72F1</t>
  </si>
  <si>
    <t>PV72F2</t>
  </si>
  <si>
    <t>PV72F3</t>
  </si>
  <si>
    <t>PV73F1</t>
  </si>
  <si>
    <t>PV73F2</t>
  </si>
  <si>
    <t>PV73F3</t>
  </si>
  <si>
    <t>PV75F1</t>
  </si>
  <si>
    <t>PV75F2</t>
  </si>
  <si>
    <t>PV75F3</t>
  </si>
  <si>
    <t>PV76F1</t>
  </si>
  <si>
    <t>PV76F2</t>
  </si>
  <si>
    <t>PV76F3</t>
  </si>
  <si>
    <t>PV77F1</t>
  </si>
  <si>
    <t>PV77F2</t>
  </si>
  <si>
    <t>PV77F3</t>
  </si>
  <si>
    <t>PV7F1</t>
  </si>
  <si>
    <t>PV7F2</t>
  </si>
  <si>
    <t>PV7F3</t>
  </si>
  <si>
    <t>PV80F1</t>
  </si>
  <si>
    <t>PV80F2</t>
  </si>
  <si>
    <t>PV80F3</t>
  </si>
  <si>
    <t>PV81F1</t>
  </si>
  <si>
    <t>PV81F2</t>
  </si>
  <si>
    <t>PV81F3</t>
  </si>
  <si>
    <t>PV83F1</t>
  </si>
  <si>
    <t>PV83F2</t>
  </si>
  <si>
    <t>PV83F3</t>
  </si>
  <si>
    <t>PV87F1</t>
  </si>
  <si>
    <t>PV87F2</t>
  </si>
  <si>
    <t>PV87F3</t>
  </si>
  <si>
    <t>PV88F1</t>
  </si>
  <si>
    <t>PV88F2</t>
  </si>
  <si>
    <t>PV88F3</t>
  </si>
  <si>
    <t>PV93F1</t>
  </si>
  <si>
    <t>PV93F2</t>
  </si>
  <si>
    <t>PV93F3</t>
  </si>
  <si>
    <t>PV95F1</t>
  </si>
  <si>
    <t>PV95F2</t>
  </si>
  <si>
    <t>PV95F3</t>
  </si>
  <si>
    <t>PV96F1</t>
  </si>
  <si>
    <t>PV96F2</t>
  </si>
  <si>
    <t>PV96F3</t>
  </si>
  <si>
    <t>PV97F1</t>
  </si>
  <si>
    <t>PV97F2</t>
  </si>
  <si>
    <t>PV97F3</t>
  </si>
  <si>
    <t>ES100F1</t>
  </si>
  <si>
    <t>StatGen</t>
  </si>
  <si>
    <t>ES100F2</t>
  </si>
  <si>
    <t>ES100F3</t>
  </si>
  <si>
    <t>ES101F1</t>
  </si>
  <si>
    <t>ES101F2</t>
  </si>
  <si>
    <t>ES101F3</t>
  </si>
  <si>
    <t>ES110F1</t>
  </si>
  <si>
    <t>ES110F2</t>
  </si>
  <si>
    <t>ES110F3</t>
  </si>
  <si>
    <t>ES14F1</t>
  </si>
  <si>
    <t>ES14F2</t>
  </si>
  <si>
    <t>ES14F3</t>
  </si>
  <si>
    <t>ES15F1</t>
  </si>
  <si>
    <t>ES15F2</t>
  </si>
  <si>
    <t>ES15F3</t>
  </si>
  <si>
    <t>ES28F1</t>
  </si>
  <si>
    <t>ES28F2</t>
  </si>
  <si>
    <t>ES28F3</t>
  </si>
  <si>
    <t>ES29F1</t>
  </si>
  <si>
    <t>ES29F2</t>
  </si>
  <si>
    <t>ES29F3</t>
  </si>
  <si>
    <t>ES2F1</t>
  </si>
  <si>
    <t>ES2F2</t>
  </si>
  <si>
    <t>ES2F3</t>
  </si>
  <si>
    <t>ES32F1</t>
  </si>
  <si>
    <t>ES32F2</t>
  </si>
  <si>
    <t>ES32F3</t>
  </si>
  <si>
    <t>ES35F1</t>
  </si>
  <si>
    <t>ES35F2</t>
  </si>
  <si>
    <t>ES35F3</t>
  </si>
  <si>
    <t>ES38F1</t>
  </si>
  <si>
    <t>ES38F2</t>
  </si>
  <si>
    <t>ES38F3</t>
  </si>
  <si>
    <t>ES39F1</t>
  </si>
  <si>
    <t>ES39F2</t>
  </si>
  <si>
    <t>ES39F3</t>
  </si>
  <si>
    <t>ES40F1</t>
  </si>
  <si>
    <t>ES40F2</t>
  </si>
  <si>
    <t>ES40F3</t>
  </si>
  <si>
    <t>ES41F1</t>
  </si>
  <si>
    <t>ES41F2</t>
  </si>
  <si>
    <t>ES41F3</t>
  </si>
  <si>
    <t>ES43F1</t>
  </si>
  <si>
    <t>ES43F2</t>
  </si>
  <si>
    <t>ES43F3</t>
  </si>
  <si>
    <t>ES48F1</t>
  </si>
  <si>
    <t>ES48F2</t>
  </si>
  <si>
    <t>ES48F3</t>
  </si>
  <si>
    <t>ES4F1</t>
  </si>
  <si>
    <t>ES4F2</t>
  </si>
  <si>
    <t>ES4F3</t>
  </si>
  <si>
    <t>ES50F1</t>
  </si>
  <si>
    <t>ES50F2</t>
  </si>
  <si>
    <t>ES50F3</t>
  </si>
  <si>
    <t>ES51F1</t>
  </si>
  <si>
    <t>ES51F2</t>
  </si>
  <si>
    <t>ES51F3</t>
  </si>
  <si>
    <t>ES53F1</t>
  </si>
  <si>
    <t>ES53F2</t>
  </si>
  <si>
    <t>ES53F3</t>
  </si>
  <si>
    <t>ES54F1</t>
  </si>
  <si>
    <t>ES54F2</t>
  </si>
  <si>
    <t>ES54F3</t>
  </si>
  <si>
    <t>ES55F1</t>
  </si>
  <si>
    <t>ES55F2</t>
  </si>
  <si>
    <t>ES55F3</t>
  </si>
  <si>
    <t>ES58F1</t>
  </si>
  <si>
    <t>ES58F2</t>
  </si>
  <si>
    <t>ES58F3</t>
  </si>
  <si>
    <t>ES59F1</t>
  </si>
  <si>
    <t>ES59F2</t>
  </si>
  <si>
    <t>ES59F3</t>
  </si>
  <si>
    <t>ES65F1</t>
  </si>
  <si>
    <t>ES65F2</t>
  </si>
  <si>
    <t>ES65F3</t>
  </si>
  <si>
    <t>ES66F1</t>
  </si>
  <si>
    <t>ES66F2</t>
  </si>
  <si>
    <t>ES66F3</t>
  </si>
  <si>
    <t>ES68F1</t>
  </si>
  <si>
    <t>ES68F2</t>
  </si>
  <si>
    <t>ES68F3</t>
  </si>
  <si>
    <t>ES69F1</t>
  </si>
  <si>
    <t>ES69F2</t>
  </si>
  <si>
    <t>ES69F3</t>
  </si>
  <si>
    <t>ES70F1</t>
  </si>
  <si>
    <t>ES70F2</t>
  </si>
  <si>
    <t>ES70F3</t>
  </si>
  <si>
    <t>ES71F1</t>
  </si>
  <si>
    <t>ES71F2</t>
  </si>
  <si>
    <t>ES71F3</t>
  </si>
  <si>
    <t>ES74F1</t>
  </si>
  <si>
    <t>ES74F2</t>
  </si>
  <si>
    <t>ES74F3</t>
  </si>
  <si>
    <t>ES79F1</t>
  </si>
  <si>
    <t>ES79F2</t>
  </si>
  <si>
    <t>ES79F3</t>
  </si>
  <si>
    <t>ES80F1</t>
  </si>
  <si>
    <t>ES80F2</t>
  </si>
  <si>
    <t>ES80F3</t>
  </si>
  <si>
    <t>ES82F1</t>
  </si>
  <si>
    <t>ES82F2</t>
  </si>
  <si>
    <t>ES82F3</t>
  </si>
  <si>
    <t>ES85F1</t>
  </si>
  <si>
    <t>ES85F2</t>
  </si>
  <si>
    <t>ES85F3</t>
  </si>
  <si>
    <t>ES86F1</t>
  </si>
  <si>
    <t>ES86F2</t>
  </si>
  <si>
    <t>ES86F3</t>
  </si>
  <si>
    <t>ES89F1</t>
  </si>
  <si>
    <t>ES89F2</t>
  </si>
  <si>
    <t>ES89F3</t>
  </si>
  <si>
    <t>ES8F1</t>
  </si>
  <si>
    <t>ES8F2</t>
  </si>
  <si>
    <t>ES8F3</t>
  </si>
  <si>
    <t>ES90F1</t>
  </si>
  <si>
    <t>ES90F2</t>
  </si>
  <si>
    <t>ES90F3</t>
  </si>
  <si>
    <t>ES92F1</t>
  </si>
  <si>
    <t>ES92F2</t>
  </si>
  <si>
    <t>ES92F3</t>
  </si>
  <si>
    <t>ES99F1</t>
  </si>
  <si>
    <t>ES99F2</t>
  </si>
  <si>
    <t>ES99F3</t>
  </si>
  <si>
    <t>node</t>
  </si>
  <si>
    <t>element</t>
  </si>
  <si>
    <t>phase</t>
  </si>
  <si>
    <t>p_storage_kw</t>
  </si>
  <si>
    <t>q_storage_kvar</t>
  </si>
  <si>
    <t>Pmax_kW</t>
  </si>
  <si>
    <t>p_storage_kw_in_model</t>
  </si>
  <si>
    <t>q_storage_kvar_in_model</t>
  </si>
  <si>
    <t>101</t>
  </si>
  <si>
    <t>L1</t>
  </si>
  <si>
    <t>L2</t>
  </si>
  <si>
    <t>L3</t>
  </si>
  <si>
    <t>U_L1_pu</t>
  </si>
  <si>
    <t>angle_L1_deg</t>
  </si>
  <si>
    <t>U_L2_pu</t>
  </si>
  <si>
    <t>angle_L2_deg</t>
  </si>
  <si>
    <t>U_L3_pu</t>
  </si>
  <si>
    <t>angle_L3_deg</t>
  </si>
  <si>
    <t>kU2_percent</t>
  </si>
  <si>
    <t>0</t>
  </si>
  <si>
    <t>1</t>
  </si>
  <si>
    <t>10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</si>
  <si>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</si>
  <si>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</si>
  <si>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</si>
  <si>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</si>
  <si>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</si>
  <si>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</si>
  <si>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</si>
  <si>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</si>
  <si>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</si>
  <si>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</t>
  </si>
  <si>
    <t>110</t>
  </si>
  <si>
    <t>111</t>
  </si>
  <si>
    <t>112</t>
  </si>
  <si>
    <t>113</t>
  </si>
  <si>
    <t>114</t>
  </si>
  <si>
    <t>115</t>
  </si>
  <si>
    <t>116</t>
  </si>
  <si>
    <t>12</t>
  </si>
  <si>
    <t>13</t>
  </si>
  <si>
    <t>14</t>
  </si>
  <si>
    <t>15</t>
  </si>
  <si>
    <t>16</t>
  </si>
  <si>
    <t>17</t>
  </si>
  <si>
    <t>18</t>
  </si>
  <si>
    <t>19</t>
  </si>
  <si>
    <t>2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</si>
  <si>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</si>
  <si>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</si>
  <si>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</si>
  <si>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</si>
  <si>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</si>
  <si>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</si>
  <si>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</si>
  <si>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</si>
  <si>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</si>
  <si>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</si>
  <si>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</si>
  <si>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</si>
  <si>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</si>
  <si>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</si>
  <si>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</si>
  <si>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</si>
  <si>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</si>
  <si>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</si>
  <si>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</si>
  <si>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</si>
  <si>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</si>
  <si>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</si>
  <si>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</si>
  <si>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</si>
  <si>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</si>
  <si>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</si>
  <si>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</si>
  <si>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</si>
  <si>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</si>
  <si>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</si>
  <si>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</si>
  <si>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</si>
  <si>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</si>
  <si>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</si>
  <si>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</si>
  <si>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</si>
  <si>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</si>
  <si>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</si>
  <si>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</si>
  <si>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</si>
  <si>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</si>
  <si>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</si>
  <si>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</si>
  <si>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</si>
  <si>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</si>
  <si>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</si>
  <si>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</si>
  <si>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</si>
  <si>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</si>
  <si>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</si>
  <si>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</si>
  <si>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</si>
  <si>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</si>
  <si>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</si>
  <si>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</si>
  <si>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</si>
  <si>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</si>
  <si>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</si>
  <si>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</si>
  <si>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</si>
  <si>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</si>
  <si>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</si>
  <si>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</si>
  <si>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</si>
  <si>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</si>
  <si>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</si>
  <si>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</si>
  <si>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</si>
  <si>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</si>
  <si>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</si>
  <si>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</si>
  <si>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</si>
  <si>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</si>
  <si>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</si>
  <si>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</si>
  <si>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</si>
  <si>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</si>
  <si>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</si>
  <si>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</si>
  <si>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</si>
  <si>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</si>
  <si>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</si>
  <si>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</si>
  <si>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</si>
  <si>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</si>
  <si>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</si>
  <si>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</si>
  <si>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U0_abs_pu</t>
  </si>
  <si>
    <t>U1_abs_pu</t>
  </si>
  <si>
    <t>U2_abs_pu</t>
  </si>
  <si>
    <t>alpha0</t>
  </si>
  <si>
    <t>alpha2</t>
  </si>
  <si>
    <t>transformer</t>
  </si>
  <si>
    <t>I_tr_L1_A</t>
  </si>
  <si>
    <t>angle_I_tr_L1_deg</t>
  </si>
  <si>
    <t>P_tr_L1_kW</t>
  </si>
  <si>
    <t>Q_tr_L1_kvar</t>
  </si>
  <si>
    <t>I_tr_L2_A</t>
  </si>
  <si>
    <t>angle_I_tr_L2_deg</t>
  </si>
  <si>
    <t>P_tr_L2_kW</t>
  </si>
  <si>
    <t>Q_tr_L2_kvar</t>
  </si>
  <si>
    <t>I_tr_L3_A</t>
  </si>
  <si>
    <t>angle_I_tr_L3_deg</t>
  </si>
  <si>
    <t>P_tr_L3_kW</t>
  </si>
  <si>
    <t>Q_tr_L3_kvar</t>
  </si>
  <si>
    <t>loading_percent</t>
  </si>
  <si>
    <t>I_neutral_A</t>
  </si>
  <si>
    <t>TR1</t>
  </si>
  <si>
    <t>Q_set_kvar</t>
  </si>
  <si>
    <t>S_apparent_kVA</t>
  </si>
  <si>
    <t>av_mode</t>
  </si>
  <si>
    <t>branch</t>
  </si>
  <si>
    <t>P_loss_kW</t>
  </si>
  <si>
    <t>Q_loss_kvar</t>
  </si>
  <si>
    <t>Ln1.2</t>
  </si>
  <si>
    <t>Ln100.101</t>
  </si>
  <si>
    <t>Ln101.108</t>
  </si>
  <si>
    <t>Ln105.106</t>
  </si>
  <si>
    <t>Ln105.107</t>
  </si>
  <si>
    <t>Ln108.110</t>
  </si>
  <si>
    <t>Ln108.114</t>
  </si>
  <si>
    <t>Ln109.113</t>
  </si>
  <si>
    <t>Ln109.116</t>
  </si>
  <si>
    <t>Ln111.112</t>
  </si>
  <si>
    <t>Ln111.115</t>
  </si>
  <si>
    <t>Ln14.15</t>
  </si>
  <si>
    <t>Ln14.19</t>
  </si>
  <si>
    <t>Ln15.16</t>
  </si>
  <si>
    <t>Ln15.28</t>
  </si>
  <si>
    <t>Ln16.17</t>
  </si>
  <si>
    <t>Ln16.37</t>
  </si>
  <si>
    <t>Ln17.18</t>
  </si>
  <si>
    <t>Ln17.31</t>
  </si>
  <si>
    <t>Ln18.36</t>
  </si>
  <si>
    <t>Ln19.20</t>
  </si>
  <si>
    <t>Ln19.21</t>
  </si>
  <si>
    <t>Ln2.3</t>
  </si>
  <si>
    <t>Ln2.4</t>
  </si>
  <si>
    <t>Ln20.22</t>
  </si>
  <si>
    <t>Ln20.23</t>
  </si>
  <si>
    <t>Ln22.25</t>
  </si>
  <si>
    <t>Ln22.33</t>
  </si>
  <si>
    <t>Ln23.24</t>
  </si>
  <si>
    <t>Ln23.26</t>
  </si>
  <si>
    <t>Ln24.27</t>
  </si>
  <si>
    <t>Ln27.29</t>
  </si>
  <si>
    <t>Ln27.30</t>
  </si>
  <si>
    <t>Ln28.32</t>
  </si>
  <si>
    <t>Ln28.49</t>
  </si>
  <si>
    <t>Ln3.10</t>
  </si>
  <si>
    <t>Ln3.5</t>
  </si>
  <si>
    <t>Ln31.34</t>
  </si>
  <si>
    <t>Ln31.39</t>
  </si>
  <si>
    <t>Ln32.35</t>
  </si>
  <si>
    <t>Ln32.46</t>
  </si>
  <si>
    <t>Ln35.38</t>
  </si>
  <si>
    <t>Ln35.48</t>
  </si>
  <si>
    <t>Ln36.40</t>
  </si>
  <si>
    <t>Ln36.42</t>
  </si>
  <si>
    <t>Ln38.41</t>
  </si>
  <si>
    <t>Ln38.44</t>
  </si>
  <si>
    <t>Ln4.6</t>
  </si>
  <si>
    <t>Ln4.8</t>
  </si>
  <si>
    <t>Ln41.43</t>
  </si>
  <si>
    <t>Ln41.45</t>
  </si>
  <si>
    <t>Ln43.52</t>
  </si>
  <si>
    <t>Ln43.53</t>
  </si>
  <si>
    <t>Ln44.47</t>
  </si>
  <si>
    <t>Ln44.50</t>
  </si>
  <si>
    <t>Ln48.51</t>
  </si>
  <si>
    <t>Ln48.54</t>
  </si>
  <si>
    <t>Ln51.58</t>
  </si>
  <si>
    <t>Ln51.61</t>
  </si>
  <si>
    <t>Ln53.55</t>
  </si>
  <si>
    <t>Ln53.76</t>
  </si>
  <si>
    <t>Ln55.56</t>
  </si>
  <si>
    <t>Ln55.59</t>
  </si>
  <si>
    <t>Ln56.57</t>
  </si>
  <si>
    <t>Ln56.67</t>
  </si>
  <si>
    <t>Ln58.60</t>
  </si>
  <si>
    <t>Ln58.68</t>
  </si>
  <si>
    <t>Ln59.63</t>
  </si>
  <si>
    <t>Ln59.65</t>
  </si>
  <si>
    <t>Ln6.13</t>
  </si>
  <si>
    <t>Ln6.7</t>
  </si>
  <si>
    <t>Ln61.62</t>
  </si>
  <si>
    <t>Ln61.64</t>
  </si>
  <si>
    <t>Ln63.66</t>
  </si>
  <si>
    <t>Ln63.72</t>
  </si>
  <si>
    <t>Ln65.69</t>
  </si>
  <si>
    <t>Ln65.78</t>
  </si>
  <si>
    <t>Ln68.71</t>
  </si>
  <si>
    <t>Ln68.97</t>
  </si>
  <si>
    <t>Ln69.70</t>
  </si>
  <si>
    <t>Ln69.75</t>
  </si>
  <si>
    <t>Ln70.77</t>
  </si>
  <si>
    <t>Ln71.73</t>
  </si>
  <si>
    <t>Ln71.74</t>
  </si>
  <si>
    <t>Ln74.79</t>
  </si>
  <si>
    <t>Ln74.83</t>
  </si>
  <si>
    <t>Ln78.80</t>
  </si>
  <si>
    <t>Ln78.81</t>
  </si>
  <si>
    <t>Ln79.82</t>
  </si>
  <si>
    <t>Ln79.98</t>
  </si>
  <si>
    <t>Ln8.14</t>
  </si>
  <si>
    <t>Ln8.9</t>
  </si>
  <si>
    <t>Ln82.84</t>
  </si>
  <si>
    <t>Ln82.85</t>
  </si>
  <si>
    <t>Ln84.87</t>
  </si>
  <si>
    <t>Ln84.95</t>
  </si>
  <si>
    <t>Ln85.86</t>
  </si>
  <si>
    <t>Ln85.88</t>
  </si>
  <si>
    <t>Ln86.89</t>
  </si>
  <si>
    <t>Ln89.111</t>
  </si>
  <si>
    <t>Ln89.90</t>
  </si>
  <si>
    <t>Ln9.11</t>
  </si>
  <si>
    <t>Ln9.12</t>
  </si>
  <si>
    <t>Ln90.91</t>
  </si>
  <si>
    <t>Ln90.92</t>
  </si>
  <si>
    <t>Ln91.102</t>
  </si>
  <si>
    <t>Ln91.93</t>
  </si>
  <si>
    <t>Ln92.94</t>
  </si>
  <si>
    <t>Ln92.99</t>
  </si>
  <si>
    <t>Ln94.104</t>
  </si>
  <si>
    <t>Ln94.96</t>
  </si>
  <si>
    <t>Ln98.103</t>
  </si>
  <si>
    <t>Ln98.105</t>
  </si>
  <si>
    <t>Ln99.100</t>
  </si>
  <si>
    <t>Ln99.109</t>
  </si>
  <si>
    <t>Umax_pu</t>
  </si>
  <si>
    <t>Umin_pu</t>
  </si>
  <si>
    <t>Udev_mean_pu</t>
  </si>
  <si>
    <t>Udev_max_pu</t>
  </si>
  <si>
    <t>Fcelu_1_Udev_rms_1_00</t>
  </si>
  <si>
    <t>Fcelu_1_Udev_rms_1_05</t>
  </si>
  <si>
    <t>dU_phase_max_pu</t>
  </si>
  <si>
    <t>kU2_max_percent</t>
  </si>
  <si>
    <t>alpha0_mean</t>
  </si>
  <si>
    <t>alpha0_max</t>
  </si>
  <si>
    <t>alpha2_mean</t>
  </si>
  <si>
    <t>alpha2_max</t>
  </si>
  <si>
    <t>Fcelu_3_weighted</t>
  </si>
  <si>
    <t>I_unbalance_tr_percent</t>
  </si>
  <si>
    <t>P_export_total_kW</t>
  </si>
  <si>
    <t>P_import_total_kW</t>
  </si>
  <si>
    <t>P_loss_total_kW</t>
  </si>
  <si>
    <t>Q_pv_abs_sum_kvar</t>
  </si>
  <si>
    <t>P_storage_L1_kW</t>
  </si>
  <si>
    <t>P_storage_L2_kW</t>
  </si>
  <si>
    <t>P_storage_L3_kW</t>
  </si>
  <si>
    <t>P_storage_total_kW</t>
  </si>
  <si>
    <t>Q_loss_total_kvar</t>
  </si>
  <si>
    <t>Q_pv_total_kvar</t>
  </si>
  <si>
    <t>P_pv_total_kW</t>
  </si>
  <si>
    <t>Q_storage_total_kvar</t>
  </si>
  <si>
    <t>Fcelu_2_A</t>
  </si>
  <si>
    <t>JU</t>
  </si>
  <si>
    <t>JA</t>
  </si>
  <si>
    <t>JI</t>
  </si>
  <si>
    <t>JP</t>
  </si>
  <si>
    <t>penalty_U</t>
  </si>
  <si>
    <t>penalty_lines</t>
  </si>
  <si>
    <t>penalty_trafo</t>
  </si>
  <si>
    <t>F1</t>
  </si>
  <si>
    <t>F2</t>
  </si>
  <si>
    <t>objective_profile</t>
  </si>
  <si>
    <t>J_used_total</t>
  </si>
  <si>
    <t>J_used_component_1</t>
  </si>
  <si>
    <t>J_used_component_2</t>
  </si>
  <si>
    <t>J_used_component_3</t>
  </si>
  <si>
    <t>J_used_component_4</t>
  </si>
  <si>
    <t>J_used_component_5</t>
  </si>
  <si>
    <t>constraint_violations</t>
  </si>
  <si>
    <t>base_case</t>
  </si>
  <si>
    <t>U:100:L1:1.1355;U:100:L2:1.1010;U:100:L3:1.1789;U:101:L1:1.1349;U:101:L2:1.1007;U:101:L3:1.1784;U:102:L1:1.1372;U:102:L2:1.1032;U:102:L3:1.1790;U:103:L1:1.1339;U:103:L2:1.1011;U:103:L3:1.1711;U:104:L1:1.1380;U:104:L2:1.1032;U:104:L3:1.1803;U:105:L1:1.1334;U:105:L2:1.1005;U:105:L3:1.1706;U:106:L1:1.1333;U:106:L2:1.1002;U:106:L3:1.1705;U:107:L1:1.1340;U:107:L2:1.1012;U:107:L3:1.1712;U:108:L1:1.1348;U:108:L2:1.1006;U:108:L3:1.1783;U:109:L1:1.1359;U:109:L2:1.1012;U:109:L3:1.1795;U:110:L1:1.1345;U:110:L2:1.1005;U:110:L3:1.1781;U:111:L1:1.1379;U:111:L2:1.1037;U:111:L3:1.1787;U:112:L1:1.1386;U:112:L2:1.1044;U:112:L3:1.1793;U:113:L1:1.1358;U:113:L2:1.1009;U:113:L3:1.1805;U:114:L1:1.1344;U:114:L2:1.1002;U:114:L3:1.1779;U:115:L1:1.1388;U:115:L2:1.1044;U:115:L3:1.1796;U:116:L1:1.1356;U:116:L2:1.1009;U:116:L3:1.1791;U:14:L3:1.1028;U:15:L3:1.1123;U:16:L3:1.1125;U:17:L3:1.1125;U:18:L3:1.1126;U:19:L3:1.1034;U:20:L3:1.1038;U:21:L3:1.1042;U:22:L3:1.1041;U:23:L3:1.1039;U:24:L3:1.1039;U:25:L3:1.1040;U:26:L3:1.1046;U:27:L3:1.1038;U:28:L1:1.1027;U:28:L3:1.1214;U:29:L3:1.1037;U:30:L3:1.1037;U:31:L3:1.1123;U:32:L1:1.1086;U:32:L3:1.1300;U:33:L3:1.1049;U:34:L3:1.1121;U:35:L1:1.1140;U:35:L3:1.1381;U:36:L3:1.1128;U:37:L3:1.1131;U:38:L1:1.1157;U:38:L3:1.1406;U:39:L3:1.1119;U:40:L3:1.1137;U:41:L1:1.1178;U:41:L3:1.1427;U:42:L3:1.1124;U:43:L1:1.1199;U:43:L3:1.1449;U:44:L1:1.1155;U:44:L3:1.1408;U:45:L1:1.1177;U:45:L3:1.1427;U:46:L1:1.1089;U:46:L3:1.1302;U:47:L1:1.1154;U:47:L3:1.1408;U:48:L1:1.1179;U:48:L3:1.1439;U:49:L1:1.1031;U:49:L3:1.1219;U:50:L1:1.1152;U:50:L3:1.1416;U:51:L1:1.1213;U:51:L3:1.1492;U:52:L1:1.1199;U:52:L3:1.1448;U:53:L1:1.1221;U:53:L3:1.1471;U:54:L1:1.1180;U:54:L3:1.1440;U:55:L1:1.1235;U:55:L3:1.1486;U:56:L1:1.1232;U:56:L3:1.1485;U:57:L1:1.1229;U:57:L3:1.1481;U:58:L1:1.1240;U:58:L3:1.1541;U:59:L1:1.1254;U:59:L3:1.1506;U:60:L1:1.1247;U:60:L3:1.1546;U:61:L1:1.1218;U:61:L3:1.1497;U:62:L1:1.1227;U:62:L3:1.1506;U:63:L1:1.1259;U:63:L3:1.1511;U:64:L1:1.1217;U:64:L3:1.1496;U:65:L1:1.1261;U:65:L3:1.1514;U:66:L1:1.1269;U:66:L3:1.1520;U:67:L1:1.1229;U:67:L3:1.1483;U:68:L1:1.1265;U:68:L3:1.1589;U:69:L1:1.1256;U:69:L3:1.1509;U:70:L1:1.1253;U:70:L3:1.1509;U:71:L1:1.1284;U:71:L3:1.1630;U:72:L1:1.1266;U:72:L3:1.1517;U:73:L1:1.1283;U:73:L3:1.1632;U:74:L1:1.1307;U:74:L3:1.1666;U:75:L1:1.1254;U:75:L3:1.1508;U:76:L1:1.1224;U:76:L3:1.1474;U:77:L1:1.1252;U:77:L3:1.1508;U:78:L1:1.1267;U:78:L3:1.1518;U:79:L1:1.1330;U:79:L2:1.1002;U:79:L3:1.1703;U:80:L1:1.1273;U:80:L3:1.1524;U:81:L1:1.1276;U:81:L3:1.1528;U:82:L1:1.1343;U:82:L2:1.1012;U:82:L3:1.1732;U:83:L1:1.1307;U:83:L3:1.1666;U:84:L1:1.1344;U:84:L2:1.1013;U:84:L3:1.1735;U:85:L1:1.1353;U:85:L2:1.1017;U:85:L3:1.1748;U:86:L1:1.1364;U:86:L2:1.1026;U:86:L3:1.1766;U:87:L1:1.1350;U:87:L2:1.1020;U:87:L3:1.1741;U:88:L1:1.1353;U:88:L2:1.1017;U:88:L3:1.1748;U:89:L1:1.1376;U:89:L2:1.1034;U:89:L3:1.1784;U:90:L1:1.1374;U:90:L2:1.1031;U:90:L3:1.1790;U:91:L1:1.1375;U:91:L2:1.1032;U:91:L3:1.1791;U:92:L1:1.1369;U:92:L2:1.1024;U:92:L3:1.1794;U:93:L1:1.1381;U:93:L2:1.1039;U:93:L3:1.1797;U:94:L1:1.1371;U:94:L2:1.1025;U:94:L3:1.1795;U:95:L1:1.1341;U:95:L2:1.1013;U:95:L3:1.1745;U:96:L1:1.1367;U:96:L2:1.1021;U:96:L3:1.1791;U:97:L1:1.1267;U:97:L3:1.1591;U:98:L1:1.1333;U:98:L2:1.1004;U:98:L3:1.1705;U:99:L1:1.1360;U:99:L2:1.1014;U:99:L3:1.1793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</si>
</sst>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0.9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1.1000000000000001</v>
      </c>
    </row>
    <row r="5" spans="1:2" x14ac:dyDescent="0.25">
      <c r="A5" t="s">
        <v>5</v>
      </c>
      <c r="B5">
        <v>0.95</v>
      </c>
    </row>
    <row r="6" spans="1:2" x14ac:dyDescent="0.25">
      <c r="A6" t="s">
        <v>6</v>
      </c>
      <c r="B6">
        <v>1.05</v>
      </c>
    </row>
    <row r="7" spans="1:2" x14ac:dyDescent="0.25">
      <c r="A7" t="s">
        <v>7</v>
      </c>
      <c r="B7">
        <v>100</v>
      </c>
    </row>
    <row r="8" spans="1:2" x14ac:dyDescent="0.25">
      <c r="A8" t="s">
        <v>8</v>
      </c>
      <c r="B8">
        <v>90</v>
      </c>
    </row>
    <row r="9" spans="1:2" x14ac:dyDescent="0.25">
      <c r="A9" t="s">
        <v>9</v>
      </c>
      <c r="B9">
        <v>30</v>
      </c>
    </row>
    <row r="10" spans="1:2" x14ac:dyDescent="0.25">
      <c r="A10" t="s">
        <v>10</v>
      </c>
      <c r="B10">
        <v>250</v>
      </c>
    </row>
    <row r="11" spans="1:2" x14ac:dyDescent="0.25">
      <c r="A11" t="s">
        <v>11</v>
      </c>
      <c r="B11" t="b">
        <v>1</v>
      </c>
    </row>
    <row r="12" spans="1:2" x14ac:dyDescent="0.25">
      <c r="A12" t="s">
        <v>12</v>
      </c>
      <c r="B12" t="b">
        <v>1</v>
      </c>
    </row>
    <row r="13" spans="1:2" x14ac:dyDescent="0.25">
      <c r="A13" t="s">
        <v>13</v>
      </c>
      <c r="B13" t="b">
        <v>1</v>
      </c>
    </row>
    <row r="14" spans="1:2" x14ac:dyDescent="0.25">
      <c r="A14" t="s">
        <v>14</v>
      </c>
      <c r="B14">
        <v>1000000</v>
      </c>
    </row>
    <row r="15" spans="1:2" x14ac:dyDescent="0.25">
      <c r="A15" t="s">
        <v>15</v>
      </c>
      <c r="B15">
        <v>50</v>
      </c>
    </row>
    <row r="16" spans="1:2" x14ac:dyDescent="0.25">
      <c r="A16" t="s">
        <v>16</v>
      </c>
      <c r="B16">
        <v>200</v>
      </c>
    </row>
    <row r="17" spans="1:2" x14ac:dyDescent="0.25">
      <c r="A17" t="s">
        <v>17</v>
      </c>
      <c r="B17">
        <v>0.3</v>
      </c>
    </row>
    <row r="18" spans="1:2" x14ac:dyDescent="0.25">
      <c r="A18" t="s">
        <v>18</v>
      </c>
      <c r="B18">
        <v>0.25</v>
      </c>
    </row>
    <row r="19" spans="1:2" x14ac:dyDescent="0.25">
      <c r="A19" t="s">
        <v>19</v>
      </c>
      <c r="B19">
        <v>0.3</v>
      </c>
    </row>
    <row r="20" spans="1:2" x14ac:dyDescent="0.25">
      <c r="A20" t="s">
        <v>20</v>
      </c>
      <c r="B20">
        <v>0.1</v>
      </c>
    </row>
    <row r="21" spans="1:2" x14ac:dyDescent="0.25">
      <c r="A21" t="s">
        <v>21</v>
      </c>
      <c r="B21">
        <v>0.05</v>
      </c>
    </row>
    <row r="22" spans="1:2" x14ac:dyDescent="0.25">
      <c r="A22" t="s">
        <v>22</v>
      </c>
      <c r="B22">
        <v>0.3</v>
      </c>
    </row>
    <row r="23" spans="1:2" x14ac:dyDescent="0.25">
      <c r="A23" t="s">
        <v>23</v>
      </c>
      <c r="B23">
        <v>0.2</v>
      </c>
    </row>
    <row r="24" spans="1:2" x14ac:dyDescent="0.25">
      <c r="A24" t="s">
        <v>24</v>
      </c>
      <c r="B24">
        <v>0.1</v>
      </c>
    </row>
    <row r="25" spans="1:2" x14ac:dyDescent="0.25">
      <c r="A25" t="s">
        <v>25</v>
      </c>
      <c r="B25">
        <v>0.15</v>
      </c>
    </row>
    <row r="26" spans="1:2" x14ac:dyDescent="0.25">
      <c r="A26" t="s">
        <v>26</v>
      </c>
      <c r="B26">
        <v>0.15</v>
      </c>
    </row>
    <row r="27" spans="1:2" x14ac:dyDescent="0.25">
      <c r="A27" t="s">
        <v>27</v>
      </c>
      <c r="B27">
        <v>0.1</v>
      </c>
    </row>
    <row r="28" spans="1:2" x14ac:dyDescent="0.25">
      <c r="A28" t="s">
        <v>28</v>
      </c>
      <c r="B28">
        <v>0.7</v>
      </c>
    </row>
    <row r="29" spans="1:2" x14ac:dyDescent="0.25">
      <c r="A29" t="s">
        <v>29</v>
      </c>
      <c r="B29">
        <v>1.5</v>
      </c>
    </row>
    <row r="30" spans="1:2" x14ac:dyDescent="0.25">
      <c r="A30" t="s">
        <v>30</v>
      </c>
      <c r="B30">
        <v>1.5</v>
      </c>
    </row>
    <row r="31" spans="1:2" x14ac:dyDescent="0.25">
      <c r="A31" t="s">
        <v>31</v>
      </c>
      <c r="B31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"/>
  <sheetViews>
    <sheetView workbookViewId="0"/>
  </sheetViews>
  <sheetFormatPr defaultRowHeight="15" x14ac:dyDescent="0.25"/>
  <sheetData>
    <row r="1" spans="1:8" x14ac:dyDescent="0.2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25">
      <c r="A2" t="s">
        <v>40</v>
      </c>
      <c r="B2" t="s">
        <v>41</v>
      </c>
      <c r="C2">
        <v>0.8</v>
      </c>
      <c r="D2">
        <v>0.8</v>
      </c>
      <c r="E2">
        <v>0.8</v>
      </c>
      <c r="F2">
        <v>0.2629472841430906</v>
      </c>
      <c r="G2">
        <v>0.2629472841430906</v>
      </c>
      <c r="H2">
        <v>0.2629472841430906</v>
      </c>
    </row>
    <row r="3" spans="1:8" x14ac:dyDescent="0.25">
      <c r="A3" t="s">
        <v>42</v>
      </c>
      <c r="B3" t="s">
        <v>41</v>
      </c>
      <c r="C3">
        <v>1</v>
      </c>
      <c r="D3">
        <v>0</v>
      </c>
      <c r="E3">
        <v>0</v>
      </c>
      <c r="F3">
        <v>0.32868410517886321</v>
      </c>
      <c r="G3">
        <v>0</v>
      </c>
      <c r="H3">
        <v>0</v>
      </c>
    </row>
    <row r="4" spans="1:8" x14ac:dyDescent="0.25">
      <c r="A4" t="s">
        <v>43</v>
      </c>
      <c r="B4" t="s">
        <v>41</v>
      </c>
      <c r="C4">
        <v>0.8</v>
      </c>
      <c r="D4">
        <v>0.8</v>
      </c>
      <c r="E4">
        <v>0.8</v>
      </c>
      <c r="F4">
        <v>0.2629472841430906</v>
      </c>
      <c r="G4">
        <v>0.2629472841430906</v>
      </c>
      <c r="H4">
        <v>0.2629472841430906</v>
      </c>
    </row>
    <row r="5" spans="1:8" x14ac:dyDescent="0.25">
      <c r="A5" t="s">
        <v>44</v>
      </c>
      <c r="B5" t="s">
        <v>41</v>
      </c>
      <c r="C5">
        <v>0</v>
      </c>
      <c r="D5">
        <v>1</v>
      </c>
      <c r="E5">
        <v>0</v>
      </c>
      <c r="F5">
        <v>0</v>
      </c>
      <c r="G5">
        <v>0.32868410517886321</v>
      </c>
      <c r="H5">
        <v>0</v>
      </c>
    </row>
    <row r="6" spans="1:8" x14ac:dyDescent="0.25">
      <c r="A6" t="s">
        <v>45</v>
      </c>
      <c r="B6" t="s">
        <v>41</v>
      </c>
      <c r="C6">
        <v>0</v>
      </c>
      <c r="D6">
        <v>1</v>
      </c>
      <c r="E6">
        <v>0</v>
      </c>
      <c r="F6">
        <v>0</v>
      </c>
      <c r="G6">
        <v>0.32868410517886321</v>
      </c>
      <c r="H6">
        <v>0</v>
      </c>
    </row>
    <row r="7" spans="1:8" x14ac:dyDescent="0.25">
      <c r="A7" t="s">
        <v>46</v>
      </c>
      <c r="B7" t="s">
        <v>41</v>
      </c>
      <c r="C7">
        <v>0.8</v>
      </c>
      <c r="D7">
        <v>0.8</v>
      </c>
      <c r="E7">
        <v>0.8</v>
      </c>
      <c r="F7">
        <v>0.2629472841430906</v>
      </c>
      <c r="G7">
        <v>0.2629472841430906</v>
      </c>
      <c r="H7">
        <v>0.2629472841430906</v>
      </c>
    </row>
    <row r="8" spans="1:8" x14ac:dyDescent="0.25">
      <c r="A8" t="s">
        <v>47</v>
      </c>
      <c r="B8" t="s">
        <v>41</v>
      </c>
      <c r="C8">
        <v>0</v>
      </c>
      <c r="D8">
        <v>1</v>
      </c>
      <c r="E8">
        <v>0</v>
      </c>
      <c r="F8">
        <v>0</v>
      </c>
      <c r="G8">
        <v>0.32868410517886321</v>
      </c>
      <c r="H8">
        <v>0</v>
      </c>
    </row>
    <row r="9" spans="1:8" x14ac:dyDescent="0.25">
      <c r="A9" t="s">
        <v>48</v>
      </c>
      <c r="B9" t="s">
        <v>41</v>
      </c>
      <c r="C9">
        <v>1</v>
      </c>
      <c r="D9">
        <v>0</v>
      </c>
      <c r="E9">
        <v>0</v>
      </c>
      <c r="F9">
        <v>0.32868410517886321</v>
      </c>
      <c r="G9">
        <v>0</v>
      </c>
      <c r="H9">
        <v>0</v>
      </c>
    </row>
    <row r="10" spans="1:8" x14ac:dyDescent="0.25">
      <c r="A10" t="s">
        <v>49</v>
      </c>
      <c r="B10" t="s">
        <v>41</v>
      </c>
      <c r="C10">
        <v>0.8</v>
      </c>
      <c r="D10">
        <v>0.8</v>
      </c>
      <c r="E10">
        <v>0.8</v>
      </c>
      <c r="F10">
        <v>0.2629472841430906</v>
      </c>
      <c r="G10">
        <v>0.2629472841430906</v>
      </c>
      <c r="H10">
        <v>0.2629472841430906</v>
      </c>
    </row>
    <row r="11" spans="1:8" x14ac:dyDescent="0.25">
      <c r="A11" t="s">
        <v>50</v>
      </c>
      <c r="B11" t="s">
        <v>41</v>
      </c>
      <c r="C11">
        <v>0</v>
      </c>
      <c r="D11">
        <v>1</v>
      </c>
      <c r="E11">
        <v>0</v>
      </c>
      <c r="F11">
        <v>0</v>
      </c>
      <c r="G11">
        <v>0.32868410517886321</v>
      </c>
      <c r="H11">
        <v>0</v>
      </c>
    </row>
    <row r="12" spans="1:8" x14ac:dyDescent="0.25">
      <c r="A12" t="s">
        <v>51</v>
      </c>
      <c r="B12" t="s">
        <v>41</v>
      </c>
      <c r="C12">
        <v>0.8</v>
      </c>
      <c r="D12">
        <v>0.8</v>
      </c>
      <c r="E12">
        <v>0.8</v>
      </c>
      <c r="F12">
        <v>0.2629472841430906</v>
      </c>
      <c r="G12">
        <v>0.2629472841430906</v>
      </c>
      <c r="H12">
        <v>0.2629472841430906</v>
      </c>
    </row>
    <row r="13" spans="1:8" x14ac:dyDescent="0.25">
      <c r="A13" t="s">
        <v>52</v>
      </c>
      <c r="B13" t="s">
        <v>41</v>
      </c>
      <c r="C13">
        <v>0</v>
      </c>
      <c r="D13">
        <v>1</v>
      </c>
      <c r="E13">
        <v>0</v>
      </c>
      <c r="F13">
        <v>0</v>
      </c>
      <c r="G13">
        <v>0.32868410517886321</v>
      </c>
      <c r="H13">
        <v>0</v>
      </c>
    </row>
    <row r="14" spans="1:8" x14ac:dyDescent="0.25">
      <c r="A14" t="s">
        <v>53</v>
      </c>
      <c r="B14" t="s">
        <v>41</v>
      </c>
      <c r="C14">
        <v>0.8</v>
      </c>
      <c r="D14">
        <v>0.8</v>
      </c>
      <c r="E14">
        <v>0.8</v>
      </c>
      <c r="F14">
        <v>0.2629472841430906</v>
      </c>
      <c r="G14">
        <v>0.2629472841430906</v>
      </c>
      <c r="H14">
        <v>0.2629472841430906</v>
      </c>
    </row>
    <row r="15" spans="1:8" x14ac:dyDescent="0.25">
      <c r="A15" t="s">
        <v>54</v>
      </c>
      <c r="B15" t="s">
        <v>41</v>
      </c>
      <c r="C15">
        <v>0.8</v>
      </c>
      <c r="D15">
        <v>0.8</v>
      </c>
      <c r="E15">
        <v>0.8</v>
      </c>
      <c r="F15">
        <v>0.2629472841430906</v>
      </c>
      <c r="G15">
        <v>0.2629472841430906</v>
      </c>
      <c r="H15">
        <v>0.2629472841430906</v>
      </c>
    </row>
    <row r="16" spans="1:8" x14ac:dyDescent="0.25">
      <c r="A16" t="s">
        <v>55</v>
      </c>
      <c r="B16" t="s">
        <v>41</v>
      </c>
      <c r="C16">
        <v>0.8</v>
      </c>
      <c r="D16">
        <v>0.8</v>
      </c>
      <c r="E16">
        <v>0.8</v>
      </c>
      <c r="F16">
        <v>0.2629472841430906</v>
      </c>
      <c r="G16">
        <v>0.2629472841430906</v>
      </c>
      <c r="H16">
        <v>0.2629472841430906</v>
      </c>
    </row>
    <row r="17" spans="1:8" x14ac:dyDescent="0.25">
      <c r="A17" t="s">
        <v>56</v>
      </c>
      <c r="B17" t="s">
        <v>41</v>
      </c>
      <c r="C17">
        <v>0.8</v>
      </c>
      <c r="D17">
        <v>0.8</v>
      </c>
      <c r="E17">
        <v>0.8</v>
      </c>
      <c r="F17">
        <v>0.2629472841430906</v>
      </c>
      <c r="G17">
        <v>0.2629472841430906</v>
      </c>
      <c r="H17">
        <v>0.2629472841430906</v>
      </c>
    </row>
    <row r="18" spans="1:8" x14ac:dyDescent="0.25">
      <c r="A18" t="s">
        <v>57</v>
      </c>
      <c r="B18" t="s">
        <v>41</v>
      </c>
      <c r="C18">
        <v>0</v>
      </c>
      <c r="D18">
        <v>1</v>
      </c>
      <c r="E18">
        <v>0</v>
      </c>
      <c r="F18">
        <v>0</v>
      </c>
      <c r="G18">
        <v>0.32868410517886321</v>
      </c>
      <c r="H18">
        <v>0</v>
      </c>
    </row>
    <row r="19" spans="1:8" x14ac:dyDescent="0.25">
      <c r="A19" t="s">
        <v>58</v>
      </c>
      <c r="B19" t="s">
        <v>41</v>
      </c>
      <c r="C19">
        <v>0.8</v>
      </c>
      <c r="D19">
        <v>0.8</v>
      </c>
      <c r="E19">
        <v>0.8</v>
      </c>
      <c r="F19">
        <v>0.2629472841430906</v>
      </c>
      <c r="G19">
        <v>0.2629472841430906</v>
      </c>
      <c r="H19">
        <v>0.2629472841430906</v>
      </c>
    </row>
    <row r="20" spans="1:8" x14ac:dyDescent="0.25">
      <c r="A20" t="s">
        <v>59</v>
      </c>
      <c r="B20" t="s">
        <v>41</v>
      </c>
      <c r="C20">
        <v>0</v>
      </c>
      <c r="D20">
        <v>1</v>
      </c>
      <c r="E20">
        <v>0</v>
      </c>
      <c r="F20">
        <v>0</v>
      </c>
      <c r="G20">
        <v>0.32868410517886321</v>
      </c>
      <c r="H20">
        <v>0</v>
      </c>
    </row>
    <row r="21" spans="1:8" x14ac:dyDescent="0.25">
      <c r="A21" t="s">
        <v>60</v>
      </c>
      <c r="B21" t="s">
        <v>41</v>
      </c>
      <c r="C21">
        <v>0</v>
      </c>
      <c r="D21">
        <v>1</v>
      </c>
      <c r="E21">
        <v>0</v>
      </c>
      <c r="F21">
        <v>0</v>
      </c>
      <c r="G21">
        <v>0.32868410517886321</v>
      </c>
      <c r="H21">
        <v>0</v>
      </c>
    </row>
    <row r="22" spans="1:8" x14ac:dyDescent="0.25">
      <c r="A22" t="s">
        <v>61</v>
      </c>
      <c r="B22" t="s">
        <v>41</v>
      </c>
      <c r="C22">
        <v>1</v>
      </c>
      <c r="D22">
        <v>0</v>
      </c>
      <c r="E22">
        <v>0</v>
      </c>
      <c r="F22">
        <v>0.32868410517886321</v>
      </c>
      <c r="G22">
        <v>0</v>
      </c>
      <c r="H22">
        <v>0</v>
      </c>
    </row>
    <row r="23" spans="1:8" x14ac:dyDescent="0.25">
      <c r="A23" t="s">
        <v>62</v>
      </c>
      <c r="B23" t="s">
        <v>41</v>
      </c>
      <c r="C23">
        <v>1</v>
      </c>
      <c r="D23">
        <v>0</v>
      </c>
      <c r="E23">
        <v>0</v>
      </c>
      <c r="F23">
        <v>0.32868410517886321</v>
      </c>
      <c r="G23">
        <v>0</v>
      </c>
      <c r="H23">
        <v>0</v>
      </c>
    </row>
    <row r="24" spans="1:8" x14ac:dyDescent="0.25">
      <c r="A24" t="s">
        <v>63</v>
      </c>
      <c r="B24" t="s">
        <v>41</v>
      </c>
      <c r="C24">
        <v>0.8</v>
      </c>
      <c r="D24">
        <v>0.8</v>
      </c>
      <c r="E24">
        <v>0.8</v>
      </c>
      <c r="F24">
        <v>0.2629472841430906</v>
      </c>
      <c r="G24">
        <v>0.2629472841430906</v>
      </c>
      <c r="H24">
        <v>0.2629472841430906</v>
      </c>
    </row>
    <row r="25" spans="1:8" x14ac:dyDescent="0.25">
      <c r="A25" t="s">
        <v>64</v>
      </c>
      <c r="B25" t="s">
        <v>41</v>
      </c>
      <c r="C25">
        <v>0.8</v>
      </c>
      <c r="D25">
        <v>0.8</v>
      </c>
      <c r="E25">
        <v>0.8</v>
      </c>
      <c r="F25">
        <v>0.2629472841430906</v>
      </c>
      <c r="G25">
        <v>0.2629472841430906</v>
      </c>
      <c r="H25">
        <v>0.2629472841430906</v>
      </c>
    </row>
    <row r="26" spans="1:8" x14ac:dyDescent="0.25">
      <c r="A26" t="s">
        <v>65</v>
      </c>
      <c r="B26" t="s">
        <v>41</v>
      </c>
      <c r="C26">
        <v>0</v>
      </c>
      <c r="D26">
        <v>1</v>
      </c>
      <c r="E26">
        <v>0</v>
      </c>
      <c r="F26">
        <v>0</v>
      </c>
      <c r="G26">
        <v>0.32868410517886321</v>
      </c>
      <c r="H26">
        <v>0</v>
      </c>
    </row>
    <row r="27" spans="1:8" x14ac:dyDescent="0.25">
      <c r="A27" t="s">
        <v>66</v>
      </c>
      <c r="B27" t="s">
        <v>41</v>
      </c>
      <c r="C27">
        <v>0.8</v>
      </c>
      <c r="D27">
        <v>0.8</v>
      </c>
      <c r="E27">
        <v>0.8</v>
      </c>
      <c r="F27">
        <v>0.2629472841430906</v>
      </c>
      <c r="G27">
        <v>0.2629472841430906</v>
      </c>
      <c r="H27">
        <v>0.2629472841430906</v>
      </c>
    </row>
    <row r="28" spans="1:8" x14ac:dyDescent="0.25">
      <c r="A28" t="s">
        <v>67</v>
      </c>
      <c r="B28" t="s">
        <v>41</v>
      </c>
      <c r="C28">
        <v>0</v>
      </c>
      <c r="D28">
        <v>1</v>
      </c>
      <c r="E28">
        <v>0</v>
      </c>
      <c r="F28">
        <v>0</v>
      </c>
      <c r="G28">
        <v>0.32868410517886321</v>
      </c>
      <c r="H28">
        <v>0</v>
      </c>
    </row>
    <row r="29" spans="1:8" x14ac:dyDescent="0.25">
      <c r="A29" t="s">
        <v>68</v>
      </c>
      <c r="B29" t="s">
        <v>41</v>
      </c>
      <c r="C29">
        <v>0.8</v>
      </c>
      <c r="D29">
        <v>0.8</v>
      </c>
      <c r="E29">
        <v>0.8</v>
      </c>
      <c r="F29">
        <v>0.2629472841430906</v>
      </c>
      <c r="G29">
        <v>0.2629472841430906</v>
      </c>
      <c r="H29">
        <v>0.2629472841430906</v>
      </c>
    </row>
    <row r="30" spans="1:8" x14ac:dyDescent="0.25">
      <c r="A30" t="s">
        <v>69</v>
      </c>
      <c r="B30" t="s">
        <v>41</v>
      </c>
      <c r="C30">
        <v>0</v>
      </c>
      <c r="D30">
        <v>1</v>
      </c>
      <c r="E30">
        <v>0</v>
      </c>
      <c r="F30">
        <v>0</v>
      </c>
      <c r="G30">
        <v>0.32868410517886321</v>
      </c>
      <c r="H30">
        <v>0</v>
      </c>
    </row>
    <row r="31" spans="1:8" x14ac:dyDescent="0.25">
      <c r="A31" t="s">
        <v>70</v>
      </c>
      <c r="B31" t="s">
        <v>41</v>
      </c>
      <c r="C31">
        <v>1</v>
      </c>
      <c r="D31">
        <v>0</v>
      </c>
      <c r="E31">
        <v>0</v>
      </c>
      <c r="F31">
        <v>0.32868410517886321</v>
      </c>
      <c r="G31">
        <v>0</v>
      </c>
      <c r="H31">
        <v>0</v>
      </c>
    </row>
    <row r="32" spans="1:8" x14ac:dyDescent="0.25">
      <c r="A32" t="s">
        <v>71</v>
      </c>
      <c r="B32" t="s">
        <v>41</v>
      </c>
      <c r="C32">
        <v>0</v>
      </c>
      <c r="D32">
        <v>1</v>
      </c>
      <c r="E32">
        <v>0</v>
      </c>
      <c r="F32">
        <v>0</v>
      </c>
      <c r="G32">
        <v>0.32868410517886321</v>
      </c>
      <c r="H32">
        <v>0</v>
      </c>
    </row>
    <row r="33" spans="1:8" x14ac:dyDescent="0.25">
      <c r="A33" t="s">
        <v>72</v>
      </c>
      <c r="B33" t="s">
        <v>41</v>
      </c>
      <c r="C33">
        <v>0.8</v>
      </c>
      <c r="D33">
        <v>0.8</v>
      </c>
      <c r="E33">
        <v>0.8</v>
      </c>
      <c r="F33">
        <v>0.2629472841430906</v>
      </c>
      <c r="G33">
        <v>0.2629472841430906</v>
      </c>
      <c r="H33">
        <v>0.2629472841430906</v>
      </c>
    </row>
    <row r="34" spans="1:8" x14ac:dyDescent="0.25">
      <c r="A34" t="s">
        <v>73</v>
      </c>
      <c r="B34" t="s">
        <v>41</v>
      </c>
      <c r="C34">
        <v>0</v>
      </c>
      <c r="D34">
        <v>1</v>
      </c>
      <c r="E34">
        <v>0</v>
      </c>
      <c r="F34">
        <v>0</v>
      </c>
      <c r="G34">
        <v>0.32868410517886321</v>
      </c>
      <c r="H34">
        <v>0</v>
      </c>
    </row>
    <row r="35" spans="1:8" x14ac:dyDescent="0.25">
      <c r="A35" t="s">
        <v>74</v>
      </c>
      <c r="B35" t="s">
        <v>41</v>
      </c>
      <c r="C35">
        <v>0.8</v>
      </c>
      <c r="D35">
        <v>0.8</v>
      </c>
      <c r="E35">
        <v>0.8</v>
      </c>
      <c r="F35">
        <v>0.2629472841430906</v>
      </c>
      <c r="G35">
        <v>0.2629472841430906</v>
      </c>
      <c r="H35">
        <v>0.2629472841430906</v>
      </c>
    </row>
    <row r="36" spans="1:8" x14ac:dyDescent="0.25">
      <c r="A36" t="s">
        <v>75</v>
      </c>
      <c r="B36" t="s">
        <v>41</v>
      </c>
      <c r="C36">
        <v>0.8</v>
      </c>
      <c r="D36">
        <v>0.8</v>
      </c>
      <c r="E36">
        <v>0.8</v>
      </c>
      <c r="F36">
        <v>0.2629472841430906</v>
      </c>
      <c r="G36">
        <v>0.2629472841430906</v>
      </c>
      <c r="H36">
        <v>0.2629472841430906</v>
      </c>
    </row>
    <row r="37" spans="1:8" x14ac:dyDescent="0.25">
      <c r="A37" t="s">
        <v>76</v>
      </c>
      <c r="B37" t="s">
        <v>41</v>
      </c>
      <c r="C37">
        <v>0.8</v>
      </c>
      <c r="D37">
        <v>0.8</v>
      </c>
      <c r="E37">
        <v>0.8</v>
      </c>
      <c r="F37">
        <v>0.2629472841430906</v>
      </c>
      <c r="G37">
        <v>0.2629472841430906</v>
      </c>
      <c r="H37">
        <v>0.2629472841430906</v>
      </c>
    </row>
    <row r="38" spans="1:8" x14ac:dyDescent="0.25">
      <c r="A38" t="s">
        <v>77</v>
      </c>
      <c r="B38" t="s">
        <v>41</v>
      </c>
      <c r="C38">
        <v>0</v>
      </c>
      <c r="D38">
        <v>1</v>
      </c>
      <c r="E38">
        <v>0</v>
      </c>
      <c r="F38">
        <v>0</v>
      </c>
      <c r="G38">
        <v>0.32868410517886321</v>
      </c>
      <c r="H38">
        <v>0</v>
      </c>
    </row>
    <row r="39" spans="1:8" x14ac:dyDescent="0.25">
      <c r="A39" t="s">
        <v>78</v>
      </c>
      <c r="B39" t="s">
        <v>41</v>
      </c>
      <c r="C39">
        <v>0</v>
      </c>
      <c r="D39">
        <v>1</v>
      </c>
      <c r="E39">
        <v>0</v>
      </c>
      <c r="F39">
        <v>0</v>
      </c>
      <c r="G39">
        <v>0.32868410517886321</v>
      </c>
      <c r="H39">
        <v>0</v>
      </c>
    </row>
    <row r="40" spans="1:8" x14ac:dyDescent="0.25">
      <c r="A40" t="s">
        <v>79</v>
      </c>
      <c r="B40" t="s">
        <v>41</v>
      </c>
      <c r="C40">
        <v>0</v>
      </c>
      <c r="D40">
        <v>1</v>
      </c>
      <c r="E40">
        <v>0</v>
      </c>
      <c r="F40">
        <v>0</v>
      </c>
      <c r="G40">
        <v>0.32868410517886321</v>
      </c>
      <c r="H40">
        <v>0</v>
      </c>
    </row>
    <row r="41" spans="1:8" x14ac:dyDescent="0.25">
      <c r="A41" t="s">
        <v>80</v>
      </c>
      <c r="B41" t="s">
        <v>41</v>
      </c>
      <c r="C41">
        <v>1</v>
      </c>
      <c r="D41">
        <v>0</v>
      </c>
      <c r="E41">
        <v>0</v>
      </c>
      <c r="F41">
        <v>0.32868410517886321</v>
      </c>
      <c r="G41">
        <v>0</v>
      </c>
      <c r="H41">
        <v>0</v>
      </c>
    </row>
    <row r="42" spans="1:8" x14ac:dyDescent="0.25">
      <c r="A42" t="s">
        <v>81</v>
      </c>
      <c r="B42" t="s">
        <v>41</v>
      </c>
      <c r="C42">
        <v>1</v>
      </c>
      <c r="D42">
        <v>0</v>
      </c>
      <c r="E42">
        <v>0</v>
      </c>
      <c r="F42">
        <v>0.32868410517886321</v>
      </c>
      <c r="G42">
        <v>0</v>
      </c>
      <c r="H42">
        <v>0</v>
      </c>
    </row>
    <row r="43" spans="1:8" x14ac:dyDescent="0.25">
      <c r="A43" t="s">
        <v>82</v>
      </c>
      <c r="B43" t="s">
        <v>41</v>
      </c>
      <c r="C43">
        <v>0.8</v>
      </c>
      <c r="D43">
        <v>0.8</v>
      </c>
      <c r="E43">
        <v>0.8</v>
      </c>
      <c r="F43">
        <v>0.2629472841430906</v>
      </c>
      <c r="G43">
        <v>0.2629472841430906</v>
      </c>
      <c r="H43">
        <v>0.2629472841430906</v>
      </c>
    </row>
    <row r="44" spans="1:8" x14ac:dyDescent="0.25">
      <c r="A44" t="s">
        <v>83</v>
      </c>
      <c r="B44" t="s">
        <v>41</v>
      </c>
      <c r="C44">
        <v>0.8</v>
      </c>
      <c r="D44">
        <v>0.8</v>
      </c>
      <c r="E44">
        <v>0.8</v>
      </c>
      <c r="F44">
        <v>0.2629472841430906</v>
      </c>
      <c r="G44">
        <v>0.2629472841430906</v>
      </c>
      <c r="H44">
        <v>0.2629472841430906</v>
      </c>
    </row>
    <row r="45" spans="1:8" x14ac:dyDescent="0.25">
      <c r="A45" t="s">
        <v>84</v>
      </c>
      <c r="B45" t="s">
        <v>41</v>
      </c>
      <c r="C45">
        <v>0.8</v>
      </c>
      <c r="D45">
        <v>0.8</v>
      </c>
      <c r="E45">
        <v>0.8</v>
      </c>
      <c r="F45">
        <v>0.2629472841430906</v>
      </c>
      <c r="G45">
        <v>0.2629472841430906</v>
      </c>
      <c r="H45">
        <v>0.2629472841430906</v>
      </c>
    </row>
    <row r="46" spans="1:8" x14ac:dyDescent="0.25">
      <c r="A46" t="s">
        <v>85</v>
      </c>
      <c r="B46" t="s">
        <v>41</v>
      </c>
      <c r="C46">
        <v>0</v>
      </c>
      <c r="D46">
        <v>1</v>
      </c>
      <c r="E46">
        <v>0</v>
      </c>
      <c r="F46">
        <v>0</v>
      </c>
      <c r="G46">
        <v>0.32868410517886321</v>
      </c>
      <c r="H46">
        <v>0</v>
      </c>
    </row>
    <row r="47" spans="1:8" x14ac:dyDescent="0.25">
      <c r="A47" t="s">
        <v>86</v>
      </c>
      <c r="B47" t="s">
        <v>41</v>
      </c>
      <c r="C47">
        <v>1</v>
      </c>
      <c r="D47">
        <v>0</v>
      </c>
      <c r="E47">
        <v>0</v>
      </c>
      <c r="F47">
        <v>0.32868410517886321</v>
      </c>
      <c r="G47">
        <v>0</v>
      </c>
      <c r="H47">
        <v>0</v>
      </c>
    </row>
    <row r="48" spans="1:8" x14ac:dyDescent="0.25">
      <c r="A48" t="s">
        <v>87</v>
      </c>
      <c r="B48" t="s">
        <v>41</v>
      </c>
      <c r="C48">
        <v>0.8</v>
      </c>
      <c r="D48">
        <v>0.8</v>
      </c>
      <c r="E48">
        <v>0.8</v>
      </c>
      <c r="F48">
        <v>0.2629472841430906</v>
      </c>
      <c r="G48">
        <v>0.2629472841430906</v>
      </c>
      <c r="H48">
        <v>0.2629472841430906</v>
      </c>
    </row>
    <row r="49" spans="1:8" x14ac:dyDescent="0.25">
      <c r="A49" t="s">
        <v>88</v>
      </c>
      <c r="B49" t="s">
        <v>41</v>
      </c>
      <c r="C49">
        <v>0</v>
      </c>
      <c r="D49">
        <v>1</v>
      </c>
      <c r="E49">
        <v>0</v>
      </c>
      <c r="F49">
        <v>0</v>
      </c>
      <c r="G49">
        <v>0.32868410517886321</v>
      </c>
      <c r="H49">
        <v>0</v>
      </c>
    </row>
    <row r="50" spans="1:8" x14ac:dyDescent="0.25">
      <c r="A50" t="s">
        <v>89</v>
      </c>
      <c r="B50" t="s">
        <v>41</v>
      </c>
      <c r="C50">
        <v>0</v>
      </c>
      <c r="D50">
        <v>1</v>
      </c>
      <c r="E50">
        <v>0</v>
      </c>
      <c r="F50">
        <v>0</v>
      </c>
      <c r="G50">
        <v>0.32868410517886321</v>
      </c>
      <c r="H50">
        <v>0</v>
      </c>
    </row>
    <row r="51" spans="1:8" x14ac:dyDescent="0.25">
      <c r="A51" t="s">
        <v>90</v>
      </c>
      <c r="B51" t="s">
        <v>41</v>
      </c>
      <c r="C51">
        <v>0.8</v>
      </c>
      <c r="D51">
        <v>0.8</v>
      </c>
      <c r="E51">
        <v>0.8</v>
      </c>
      <c r="F51">
        <v>0.2629472841430906</v>
      </c>
      <c r="G51">
        <v>0.2629472841430906</v>
      </c>
      <c r="H51">
        <v>0.2629472841430906</v>
      </c>
    </row>
    <row r="52" spans="1:8" x14ac:dyDescent="0.25">
      <c r="A52" t="s">
        <v>91</v>
      </c>
      <c r="B52" t="s">
        <v>41</v>
      </c>
      <c r="C52">
        <v>0</v>
      </c>
      <c r="D52">
        <v>1</v>
      </c>
      <c r="E52">
        <v>0</v>
      </c>
      <c r="F52">
        <v>0</v>
      </c>
      <c r="G52">
        <v>0.32868410517886321</v>
      </c>
      <c r="H52">
        <v>0</v>
      </c>
    </row>
    <row r="53" spans="1:8" x14ac:dyDescent="0.25">
      <c r="A53" t="s">
        <v>92</v>
      </c>
      <c r="B53" t="s">
        <v>41</v>
      </c>
      <c r="C53">
        <v>0.8</v>
      </c>
      <c r="D53">
        <v>0.8</v>
      </c>
      <c r="E53">
        <v>0.8</v>
      </c>
      <c r="F53">
        <v>0.2629472841430906</v>
      </c>
      <c r="G53">
        <v>0.2629472841430906</v>
      </c>
      <c r="H53">
        <v>0.2629472841430906</v>
      </c>
    </row>
    <row r="54" spans="1:8" x14ac:dyDescent="0.25">
      <c r="A54" t="s">
        <v>93</v>
      </c>
      <c r="B54" t="s">
        <v>41</v>
      </c>
      <c r="C54">
        <v>1</v>
      </c>
      <c r="D54">
        <v>0</v>
      </c>
      <c r="E54">
        <v>0</v>
      </c>
      <c r="F54">
        <v>0.32868410517886321</v>
      </c>
      <c r="G54">
        <v>0</v>
      </c>
      <c r="H54">
        <v>0</v>
      </c>
    </row>
    <row r="55" spans="1:8" x14ac:dyDescent="0.25">
      <c r="A55" t="s">
        <v>94</v>
      </c>
      <c r="B55" t="s">
        <v>41</v>
      </c>
      <c r="C55">
        <v>0.8</v>
      </c>
      <c r="D55">
        <v>0.8</v>
      </c>
      <c r="E55">
        <v>0.8</v>
      </c>
      <c r="F55">
        <v>0.2629472841430906</v>
      </c>
      <c r="G55">
        <v>0.2629472841430906</v>
      </c>
      <c r="H55">
        <v>0.2629472841430906</v>
      </c>
    </row>
    <row r="56" spans="1:8" x14ac:dyDescent="0.25">
      <c r="A56" t="s">
        <v>95</v>
      </c>
      <c r="B56" t="s">
        <v>41</v>
      </c>
      <c r="C56">
        <v>1</v>
      </c>
      <c r="D56">
        <v>0</v>
      </c>
      <c r="E56">
        <v>0</v>
      </c>
      <c r="F56">
        <v>0.32868410517886321</v>
      </c>
      <c r="G56">
        <v>0</v>
      </c>
      <c r="H56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6"/>
  <sheetViews>
    <sheetView workbookViewId="0"/>
  </sheetViews>
  <sheetFormatPr defaultRowHeight="15" x14ac:dyDescent="0.25"/>
  <sheetData>
    <row r="1" spans="1:7" x14ac:dyDescent="0.25">
      <c r="A1" t="s">
        <v>32</v>
      </c>
      <c r="B1" t="s">
        <v>33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25">
      <c r="A2" t="s">
        <v>101</v>
      </c>
      <c r="B2" t="s">
        <v>102</v>
      </c>
      <c r="C2">
        <v>0</v>
      </c>
      <c r="D2">
        <v>0</v>
      </c>
      <c r="E2">
        <v>0</v>
      </c>
      <c r="F2" t="s">
        <v>103</v>
      </c>
      <c r="G2">
        <v>1</v>
      </c>
    </row>
    <row r="3" spans="1:7" x14ac:dyDescent="0.25">
      <c r="A3" t="s">
        <v>104</v>
      </c>
      <c r="B3" t="s">
        <v>102</v>
      </c>
      <c r="C3">
        <v>0</v>
      </c>
      <c r="D3">
        <v>0</v>
      </c>
      <c r="E3">
        <v>0</v>
      </c>
      <c r="F3" t="s">
        <v>103</v>
      </c>
      <c r="G3">
        <v>1</v>
      </c>
    </row>
    <row r="4" spans="1:7" x14ac:dyDescent="0.25">
      <c r="A4" t="s">
        <v>105</v>
      </c>
      <c r="B4" t="s">
        <v>102</v>
      </c>
      <c r="C4">
        <v>0</v>
      </c>
      <c r="D4">
        <v>0</v>
      </c>
      <c r="E4">
        <v>0</v>
      </c>
      <c r="F4" t="s">
        <v>103</v>
      </c>
      <c r="G4">
        <v>1</v>
      </c>
    </row>
    <row r="5" spans="1:7" x14ac:dyDescent="0.25">
      <c r="A5" t="s">
        <v>106</v>
      </c>
      <c r="B5" t="s">
        <v>102</v>
      </c>
      <c r="C5">
        <v>2.2000000000000002</v>
      </c>
      <c r="D5">
        <v>0</v>
      </c>
      <c r="E5">
        <v>0</v>
      </c>
      <c r="F5" t="s">
        <v>103</v>
      </c>
      <c r="G5">
        <v>1</v>
      </c>
    </row>
    <row r="6" spans="1:7" x14ac:dyDescent="0.25">
      <c r="A6" t="s">
        <v>107</v>
      </c>
      <c r="B6" t="s">
        <v>102</v>
      </c>
      <c r="C6">
        <v>2.2000000000000002</v>
      </c>
      <c r="D6">
        <v>0</v>
      </c>
      <c r="E6">
        <v>0</v>
      </c>
      <c r="F6" t="s">
        <v>103</v>
      </c>
      <c r="G6">
        <v>1</v>
      </c>
    </row>
    <row r="7" spans="1:7" x14ac:dyDescent="0.25">
      <c r="A7" t="s">
        <v>108</v>
      </c>
      <c r="B7" t="s">
        <v>102</v>
      </c>
      <c r="C7">
        <v>2.2000000000000002</v>
      </c>
      <c r="D7">
        <v>0</v>
      </c>
      <c r="E7">
        <v>0</v>
      </c>
      <c r="F7" t="s">
        <v>103</v>
      </c>
      <c r="G7">
        <v>1</v>
      </c>
    </row>
    <row r="8" spans="1:7" x14ac:dyDescent="0.25">
      <c r="A8" t="s">
        <v>109</v>
      </c>
      <c r="B8" t="s">
        <v>102</v>
      </c>
      <c r="C8">
        <v>2.2000000000000002</v>
      </c>
      <c r="D8">
        <v>0</v>
      </c>
      <c r="E8">
        <v>0</v>
      </c>
      <c r="F8" t="s">
        <v>103</v>
      </c>
      <c r="G8">
        <v>1</v>
      </c>
    </row>
    <row r="9" spans="1:7" x14ac:dyDescent="0.25">
      <c r="A9" t="s">
        <v>110</v>
      </c>
      <c r="B9" t="s">
        <v>102</v>
      </c>
      <c r="C9">
        <v>2.2000000000000002</v>
      </c>
      <c r="D9">
        <v>0</v>
      </c>
      <c r="E9">
        <v>0</v>
      </c>
      <c r="F9" t="s">
        <v>103</v>
      </c>
      <c r="G9">
        <v>1</v>
      </c>
    </row>
    <row r="10" spans="1:7" x14ac:dyDescent="0.25">
      <c r="A10" t="s">
        <v>111</v>
      </c>
      <c r="B10" t="s">
        <v>102</v>
      </c>
      <c r="C10">
        <v>2.2000000000000002</v>
      </c>
      <c r="D10">
        <v>0</v>
      </c>
      <c r="E10">
        <v>0</v>
      </c>
      <c r="F10" t="s">
        <v>103</v>
      </c>
      <c r="G10">
        <v>1</v>
      </c>
    </row>
    <row r="11" spans="1:7" x14ac:dyDescent="0.25">
      <c r="A11" t="s">
        <v>112</v>
      </c>
      <c r="B11" t="s">
        <v>102</v>
      </c>
      <c r="C11">
        <v>0</v>
      </c>
      <c r="D11">
        <v>0</v>
      </c>
      <c r="E11">
        <v>0</v>
      </c>
      <c r="F11" t="s">
        <v>103</v>
      </c>
      <c r="G11">
        <v>1</v>
      </c>
    </row>
    <row r="12" spans="1:7" x14ac:dyDescent="0.25">
      <c r="A12" t="s">
        <v>113</v>
      </c>
      <c r="B12" t="s">
        <v>102</v>
      </c>
      <c r="C12">
        <v>0</v>
      </c>
      <c r="D12">
        <v>0</v>
      </c>
      <c r="E12">
        <v>0</v>
      </c>
      <c r="F12" t="s">
        <v>103</v>
      </c>
      <c r="G12">
        <v>1</v>
      </c>
    </row>
    <row r="13" spans="1:7" x14ac:dyDescent="0.25">
      <c r="A13" t="s">
        <v>114</v>
      </c>
      <c r="B13" t="s">
        <v>102</v>
      </c>
      <c r="C13">
        <v>0</v>
      </c>
      <c r="D13">
        <v>0</v>
      </c>
      <c r="E13">
        <v>0</v>
      </c>
      <c r="F13" t="s">
        <v>103</v>
      </c>
      <c r="G13">
        <v>1</v>
      </c>
    </row>
    <row r="14" spans="1:7" x14ac:dyDescent="0.25">
      <c r="A14" t="s">
        <v>115</v>
      </c>
      <c r="B14" t="s">
        <v>102</v>
      </c>
      <c r="C14">
        <v>2.2000000000000002</v>
      </c>
      <c r="D14">
        <v>0</v>
      </c>
      <c r="E14">
        <v>0</v>
      </c>
      <c r="F14" t="s">
        <v>103</v>
      </c>
      <c r="G14">
        <v>1</v>
      </c>
    </row>
    <row r="15" spans="1:7" x14ac:dyDescent="0.25">
      <c r="A15" t="s">
        <v>116</v>
      </c>
      <c r="B15" t="s">
        <v>102</v>
      </c>
      <c r="C15">
        <v>2.2000000000000002</v>
      </c>
      <c r="D15">
        <v>0</v>
      </c>
      <c r="E15">
        <v>0</v>
      </c>
      <c r="F15" t="s">
        <v>103</v>
      </c>
      <c r="G15">
        <v>1</v>
      </c>
    </row>
    <row r="16" spans="1:7" x14ac:dyDescent="0.25">
      <c r="A16" t="s">
        <v>117</v>
      </c>
      <c r="B16" t="s">
        <v>102</v>
      </c>
      <c r="C16">
        <v>2.2000000000000002</v>
      </c>
      <c r="D16">
        <v>0</v>
      </c>
      <c r="E16">
        <v>0</v>
      </c>
      <c r="F16" t="s">
        <v>103</v>
      </c>
      <c r="G16">
        <v>1</v>
      </c>
    </row>
    <row r="17" spans="1:7" x14ac:dyDescent="0.25">
      <c r="A17" t="s">
        <v>118</v>
      </c>
      <c r="B17" t="s">
        <v>102</v>
      </c>
      <c r="C17">
        <v>0</v>
      </c>
      <c r="D17">
        <v>0</v>
      </c>
      <c r="E17">
        <v>0</v>
      </c>
      <c r="F17" t="s">
        <v>103</v>
      </c>
      <c r="G17">
        <v>1</v>
      </c>
    </row>
    <row r="18" spans="1:7" x14ac:dyDescent="0.25">
      <c r="A18" t="s">
        <v>119</v>
      </c>
      <c r="B18" t="s">
        <v>102</v>
      </c>
      <c r="C18">
        <v>0</v>
      </c>
      <c r="D18">
        <v>0</v>
      </c>
      <c r="E18">
        <v>0</v>
      </c>
      <c r="F18" t="s">
        <v>103</v>
      </c>
      <c r="G18">
        <v>1</v>
      </c>
    </row>
    <row r="19" spans="1:7" x14ac:dyDescent="0.25">
      <c r="A19" t="s">
        <v>120</v>
      </c>
      <c r="B19" t="s">
        <v>102</v>
      </c>
      <c r="C19">
        <v>0</v>
      </c>
      <c r="D19">
        <v>0</v>
      </c>
      <c r="E19">
        <v>0</v>
      </c>
      <c r="F19" t="s">
        <v>103</v>
      </c>
      <c r="G19">
        <v>1</v>
      </c>
    </row>
    <row r="20" spans="1:7" x14ac:dyDescent="0.25">
      <c r="A20" t="s">
        <v>121</v>
      </c>
      <c r="B20" t="s">
        <v>102</v>
      </c>
      <c r="C20">
        <v>0</v>
      </c>
      <c r="D20">
        <v>0</v>
      </c>
      <c r="E20">
        <v>0</v>
      </c>
      <c r="F20" t="s">
        <v>103</v>
      </c>
      <c r="G20">
        <v>1</v>
      </c>
    </row>
    <row r="21" spans="1:7" x14ac:dyDescent="0.25">
      <c r="A21" t="s">
        <v>122</v>
      </c>
      <c r="B21" t="s">
        <v>102</v>
      </c>
      <c r="C21">
        <v>0</v>
      </c>
      <c r="D21">
        <v>0</v>
      </c>
      <c r="E21">
        <v>0</v>
      </c>
      <c r="F21" t="s">
        <v>103</v>
      </c>
      <c r="G21">
        <v>1</v>
      </c>
    </row>
    <row r="22" spans="1:7" x14ac:dyDescent="0.25">
      <c r="A22" t="s">
        <v>123</v>
      </c>
      <c r="B22" t="s">
        <v>102</v>
      </c>
      <c r="C22">
        <v>0</v>
      </c>
      <c r="D22">
        <v>0</v>
      </c>
      <c r="E22">
        <v>0</v>
      </c>
      <c r="F22" t="s">
        <v>103</v>
      </c>
      <c r="G22">
        <v>1</v>
      </c>
    </row>
    <row r="23" spans="1:7" x14ac:dyDescent="0.25">
      <c r="A23" t="s">
        <v>124</v>
      </c>
      <c r="B23" t="s">
        <v>102</v>
      </c>
      <c r="C23">
        <v>2.2000000000000002</v>
      </c>
      <c r="D23">
        <v>0</v>
      </c>
      <c r="E23">
        <v>0</v>
      </c>
      <c r="F23" t="s">
        <v>103</v>
      </c>
      <c r="G23">
        <v>1</v>
      </c>
    </row>
    <row r="24" spans="1:7" x14ac:dyDescent="0.25">
      <c r="A24" t="s">
        <v>125</v>
      </c>
      <c r="B24" t="s">
        <v>102</v>
      </c>
      <c r="C24">
        <v>2.2000000000000002</v>
      </c>
      <c r="D24">
        <v>0</v>
      </c>
      <c r="E24">
        <v>0</v>
      </c>
      <c r="F24" t="s">
        <v>103</v>
      </c>
      <c r="G24">
        <v>1</v>
      </c>
    </row>
    <row r="25" spans="1:7" x14ac:dyDescent="0.25">
      <c r="A25" t="s">
        <v>126</v>
      </c>
      <c r="B25" t="s">
        <v>102</v>
      </c>
      <c r="C25">
        <v>2.2000000000000002</v>
      </c>
      <c r="D25">
        <v>0</v>
      </c>
      <c r="E25">
        <v>0</v>
      </c>
      <c r="F25" t="s">
        <v>103</v>
      </c>
      <c r="G25">
        <v>1</v>
      </c>
    </row>
    <row r="26" spans="1:7" x14ac:dyDescent="0.25">
      <c r="A26" t="s">
        <v>127</v>
      </c>
      <c r="B26" t="s">
        <v>102</v>
      </c>
      <c r="C26">
        <v>0</v>
      </c>
      <c r="D26">
        <v>0</v>
      </c>
      <c r="E26">
        <v>0</v>
      </c>
      <c r="F26" t="s">
        <v>103</v>
      </c>
      <c r="G26">
        <v>1</v>
      </c>
    </row>
    <row r="27" spans="1:7" x14ac:dyDescent="0.25">
      <c r="A27" t="s">
        <v>128</v>
      </c>
      <c r="B27" t="s">
        <v>102</v>
      </c>
      <c r="C27">
        <v>0</v>
      </c>
      <c r="D27">
        <v>0</v>
      </c>
      <c r="E27">
        <v>0</v>
      </c>
      <c r="F27" t="s">
        <v>103</v>
      </c>
      <c r="G27">
        <v>1</v>
      </c>
    </row>
    <row r="28" spans="1:7" x14ac:dyDescent="0.25">
      <c r="A28" t="s">
        <v>129</v>
      </c>
      <c r="B28" t="s">
        <v>102</v>
      </c>
      <c r="C28">
        <v>2.5</v>
      </c>
      <c r="D28">
        <v>0</v>
      </c>
      <c r="E28">
        <v>0</v>
      </c>
      <c r="F28" t="s">
        <v>103</v>
      </c>
      <c r="G28">
        <v>1</v>
      </c>
    </row>
    <row r="29" spans="1:7" x14ac:dyDescent="0.25">
      <c r="A29" t="s">
        <v>130</v>
      </c>
      <c r="B29" t="s">
        <v>102</v>
      </c>
      <c r="C29">
        <v>0</v>
      </c>
      <c r="D29">
        <v>0</v>
      </c>
      <c r="E29">
        <v>0</v>
      </c>
      <c r="F29" t="s">
        <v>103</v>
      </c>
      <c r="G29">
        <v>1</v>
      </c>
    </row>
    <row r="30" spans="1:7" x14ac:dyDescent="0.25">
      <c r="A30" t="s">
        <v>131</v>
      </c>
      <c r="B30" t="s">
        <v>102</v>
      </c>
      <c r="C30">
        <v>0</v>
      </c>
      <c r="D30">
        <v>0</v>
      </c>
      <c r="E30">
        <v>0</v>
      </c>
      <c r="F30" t="s">
        <v>103</v>
      </c>
      <c r="G30">
        <v>1</v>
      </c>
    </row>
    <row r="31" spans="1:7" x14ac:dyDescent="0.25">
      <c r="A31" t="s">
        <v>132</v>
      </c>
      <c r="B31" t="s">
        <v>102</v>
      </c>
      <c r="C31">
        <v>0</v>
      </c>
      <c r="D31">
        <v>0</v>
      </c>
      <c r="E31">
        <v>0</v>
      </c>
      <c r="F31" t="s">
        <v>103</v>
      </c>
      <c r="G31">
        <v>1</v>
      </c>
    </row>
    <row r="32" spans="1:7" x14ac:dyDescent="0.25">
      <c r="A32" t="s">
        <v>133</v>
      </c>
      <c r="B32" t="s">
        <v>102</v>
      </c>
      <c r="C32">
        <v>2.2000000000000002</v>
      </c>
      <c r="D32">
        <v>0</v>
      </c>
      <c r="E32">
        <v>0</v>
      </c>
      <c r="F32" t="s">
        <v>103</v>
      </c>
      <c r="G32">
        <v>1</v>
      </c>
    </row>
    <row r="33" spans="1:7" x14ac:dyDescent="0.25">
      <c r="A33" t="s">
        <v>134</v>
      </c>
      <c r="B33" t="s">
        <v>102</v>
      </c>
      <c r="C33">
        <v>2.2000000000000002</v>
      </c>
      <c r="D33">
        <v>0</v>
      </c>
      <c r="E33">
        <v>0</v>
      </c>
      <c r="F33" t="s">
        <v>103</v>
      </c>
      <c r="G33">
        <v>1</v>
      </c>
    </row>
    <row r="34" spans="1:7" x14ac:dyDescent="0.25">
      <c r="A34" t="s">
        <v>135</v>
      </c>
      <c r="B34" t="s">
        <v>102</v>
      </c>
      <c r="C34">
        <v>2.2000000000000002</v>
      </c>
      <c r="D34">
        <v>0</v>
      </c>
      <c r="E34">
        <v>0</v>
      </c>
      <c r="F34" t="s">
        <v>103</v>
      </c>
      <c r="G34">
        <v>1</v>
      </c>
    </row>
    <row r="35" spans="1:7" x14ac:dyDescent="0.25">
      <c r="A35" t="s">
        <v>136</v>
      </c>
      <c r="B35" t="s">
        <v>102</v>
      </c>
      <c r="C35">
        <v>0</v>
      </c>
      <c r="D35">
        <v>0</v>
      </c>
      <c r="E35">
        <v>0</v>
      </c>
      <c r="F35" t="s">
        <v>103</v>
      </c>
      <c r="G35">
        <v>1</v>
      </c>
    </row>
    <row r="36" spans="1:7" x14ac:dyDescent="0.25">
      <c r="A36" t="s">
        <v>137</v>
      </c>
      <c r="B36" t="s">
        <v>102</v>
      </c>
      <c r="C36">
        <v>0</v>
      </c>
      <c r="D36">
        <v>0</v>
      </c>
      <c r="E36">
        <v>0</v>
      </c>
      <c r="F36" t="s">
        <v>103</v>
      </c>
      <c r="G36">
        <v>1</v>
      </c>
    </row>
    <row r="37" spans="1:7" x14ac:dyDescent="0.25">
      <c r="A37" t="s">
        <v>138</v>
      </c>
      <c r="B37" t="s">
        <v>102</v>
      </c>
      <c r="C37">
        <v>0</v>
      </c>
      <c r="D37">
        <v>0</v>
      </c>
      <c r="E37">
        <v>0</v>
      </c>
      <c r="F37" t="s">
        <v>103</v>
      </c>
      <c r="G37">
        <v>1</v>
      </c>
    </row>
    <row r="38" spans="1:7" x14ac:dyDescent="0.25">
      <c r="A38" t="s">
        <v>139</v>
      </c>
      <c r="B38" t="s">
        <v>102</v>
      </c>
      <c r="C38">
        <v>0</v>
      </c>
      <c r="D38">
        <v>0</v>
      </c>
      <c r="E38">
        <v>0</v>
      </c>
      <c r="F38" t="s">
        <v>103</v>
      </c>
      <c r="G38">
        <v>1</v>
      </c>
    </row>
    <row r="39" spans="1:7" x14ac:dyDescent="0.25">
      <c r="A39" t="s">
        <v>140</v>
      </c>
      <c r="B39" t="s">
        <v>102</v>
      </c>
      <c r="C39">
        <v>0</v>
      </c>
      <c r="D39">
        <v>0</v>
      </c>
      <c r="E39">
        <v>0</v>
      </c>
      <c r="F39" t="s">
        <v>103</v>
      </c>
      <c r="G39">
        <v>1</v>
      </c>
    </row>
    <row r="40" spans="1:7" x14ac:dyDescent="0.25">
      <c r="A40" t="s">
        <v>141</v>
      </c>
      <c r="B40" t="s">
        <v>102</v>
      </c>
      <c r="C40">
        <v>0</v>
      </c>
      <c r="D40">
        <v>0</v>
      </c>
      <c r="E40">
        <v>0</v>
      </c>
      <c r="F40" t="s">
        <v>103</v>
      </c>
      <c r="G40">
        <v>1</v>
      </c>
    </row>
    <row r="41" spans="1:7" x14ac:dyDescent="0.25">
      <c r="A41" t="s">
        <v>142</v>
      </c>
      <c r="B41" t="s">
        <v>102</v>
      </c>
      <c r="C41">
        <v>0</v>
      </c>
      <c r="D41">
        <v>0</v>
      </c>
      <c r="E41">
        <v>0</v>
      </c>
      <c r="F41" t="s">
        <v>103</v>
      </c>
      <c r="G41">
        <v>1</v>
      </c>
    </row>
    <row r="42" spans="1:7" x14ac:dyDescent="0.25">
      <c r="A42" t="s">
        <v>143</v>
      </c>
      <c r="B42" t="s">
        <v>102</v>
      </c>
      <c r="C42">
        <v>0</v>
      </c>
      <c r="D42">
        <v>0</v>
      </c>
      <c r="E42">
        <v>0</v>
      </c>
      <c r="F42" t="s">
        <v>103</v>
      </c>
      <c r="G42">
        <v>1</v>
      </c>
    </row>
    <row r="43" spans="1:7" x14ac:dyDescent="0.25">
      <c r="A43" t="s">
        <v>144</v>
      </c>
      <c r="B43" t="s">
        <v>102</v>
      </c>
      <c r="C43">
        <v>0</v>
      </c>
      <c r="D43">
        <v>0</v>
      </c>
      <c r="E43">
        <v>0</v>
      </c>
      <c r="F43" t="s">
        <v>103</v>
      </c>
      <c r="G43">
        <v>1</v>
      </c>
    </row>
    <row r="44" spans="1:7" x14ac:dyDescent="0.25">
      <c r="A44" t="s">
        <v>145</v>
      </c>
      <c r="B44" t="s">
        <v>102</v>
      </c>
      <c r="C44">
        <v>2.2000000000000002</v>
      </c>
      <c r="D44">
        <v>0</v>
      </c>
      <c r="E44">
        <v>0</v>
      </c>
      <c r="F44" t="s">
        <v>103</v>
      </c>
      <c r="G44">
        <v>1</v>
      </c>
    </row>
    <row r="45" spans="1:7" x14ac:dyDescent="0.25">
      <c r="A45" t="s">
        <v>146</v>
      </c>
      <c r="B45" t="s">
        <v>102</v>
      </c>
      <c r="C45">
        <v>2.2000000000000002</v>
      </c>
      <c r="D45">
        <v>0</v>
      </c>
      <c r="E45">
        <v>0</v>
      </c>
      <c r="F45" t="s">
        <v>103</v>
      </c>
      <c r="G45">
        <v>1</v>
      </c>
    </row>
    <row r="46" spans="1:7" x14ac:dyDescent="0.25">
      <c r="A46" t="s">
        <v>147</v>
      </c>
      <c r="B46" t="s">
        <v>102</v>
      </c>
      <c r="C46">
        <v>2.2000000000000002</v>
      </c>
      <c r="D46">
        <v>0</v>
      </c>
      <c r="E46">
        <v>0</v>
      </c>
      <c r="F46" t="s">
        <v>103</v>
      </c>
      <c r="G46">
        <v>1</v>
      </c>
    </row>
    <row r="47" spans="1:7" x14ac:dyDescent="0.25">
      <c r="A47" t="s">
        <v>148</v>
      </c>
      <c r="B47" t="s">
        <v>102</v>
      </c>
      <c r="C47">
        <v>0</v>
      </c>
      <c r="D47">
        <v>0</v>
      </c>
      <c r="E47">
        <v>0</v>
      </c>
      <c r="F47" t="s">
        <v>103</v>
      </c>
      <c r="G47">
        <v>1</v>
      </c>
    </row>
    <row r="48" spans="1:7" x14ac:dyDescent="0.25">
      <c r="A48" t="s">
        <v>149</v>
      </c>
      <c r="B48" t="s">
        <v>102</v>
      </c>
      <c r="C48">
        <v>0</v>
      </c>
      <c r="D48">
        <v>0</v>
      </c>
      <c r="E48">
        <v>0</v>
      </c>
      <c r="F48" t="s">
        <v>103</v>
      </c>
      <c r="G48">
        <v>1</v>
      </c>
    </row>
    <row r="49" spans="1:7" x14ac:dyDescent="0.25">
      <c r="A49" t="s">
        <v>150</v>
      </c>
      <c r="B49" t="s">
        <v>102</v>
      </c>
      <c r="C49">
        <v>2.5</v>
      </c>
      <c r="D49">
        <v>0</v>
      </c>
      <c r="E49">
        <v>0</v>
      </c>
      <c r="F49" t="s">
        <v>103</v>
      </c>
      <c r="G49">
        <v>1</v>
      </c>
    </row>
    <row r="50" spans="1:7" x14ac:dyDescent="0.25">
      <c r="A50" t="s">
        <v>151</v>
      </c>
      <c r="B50" t="s">
        <v>102</v>
      </c>
      <c r="C50">
        <v>0</v>
      </c>
      <c r="D50">
        <v>0</v>
      </c>
      <c r="E50">
        <v>0</v>
      </c>
      <c r="F50" t="s">
        <v>103</v>
      </c>
      <c r="G50">
        <v>1</v>
      </c>
    </row>
    <row r="51" spans="1:7" x14ac:dyDescent="0.25">
      <c r="A51" t="s">
        <v>152</v>
      </c>
      <c r="B51" t="s">
        <v>102</v>
      </c>
      <c r="C51">
        <v>0</v>
      </c>
      <c r="D51">
        <v>0</v>
      </c>
      <c r="E51">
        <v>0</v>
      </c>
      <c r="F51" t="s">
        <v>103</v>
      </c>
      <c r="G51">
        <v>1</v>
      </c>
    </row>
    <row r="52" spans="1:7" x14ac:dyDescent="0.25">
      <c r="A52" t="s">
        <v>153</v>
      </c>
      <c r="B52" t="s">
        <v>102</v>
      </c>
      <c r="C52">
        <v>0</v>
      </c>
      <c r="D52">
        <v>0</v>
      </c>
      <c r="E52">
        <v>0</v>
      </c>
      <c r="F52" t="s">
        <v>103</v>
      </c>
      <c r="G52">
        <v>1</v>
      </c>
    </row>
    <row r="53" spans="1:7" x14ac:dyDescent="0.25">
      <c r="A53" t="s">
        <v>154</v>
      </c>
      <c r="B53" t="s">
        <v>102</v>
      </c>
      <c r="C53">
        <v>2.2000000000000002</v>
      </c>
      <c r="D53">
        <v>0</v>
      </c>
      <c r="E53">
        <v>0</v>
      </c>
      <c r="F53" t="s">
        <v>103</v>
      </c>
      <c r="G53">
        <v>1</v>
      </c>
    </row>
    <row r="54" spans="1:7" x14ac:dyDescent="0.25">
      <c r="A54" t="s">
        <v>155</v>
      </c>
      <c r="B54" t="s">
        <v>102</v>
      </c>
      <c r="C54">
        <v>2.2000000000000002</v>
      </c>
      <c r="D54">
        <v>0</v>
      </c>
      <c r="E54">
        <v>0</v>
      </c>
      <c r="F54" t="s">
        <v>103</v>
      </c>
      <c r="G54">
        <v>1</v>
      </c>
    </row>
    <row r="55" spans="1:7" x14ac:dyDescent="0.25">
      <c r="A55" t="s">
        <v>156</v>
      </c>
      <c r="B55" t="s">
        <v>102</v>
      </c>
      <c r="C55">
        <v>2.2000000000000002</v>
      </c>
      <c r="D55">
        <v>0</v>
      </c>
      <c r="E55">
        <v>0</v>
      </c>
      <c r="F55" t="s">
        <v>103</v>
      </c>
      <c r="G55">
        <v>1</v>
      </c>
    </row>
    <row r="56" spans="1:7" x14ac:dyDescent="0.25">
      <c r="A56" t="s">
        <v>157</v>
      </c>
      <c r="B56" t="s">
        <v>102</v>
      </c>
      <c r="C56">
        <v>0</v>
      </c>
      <c r="D56">
        <v>0</v>
      </c>
      <c r="E56">
        <v>0</v>
      </c>
      <c r="F56" t="s">
        <v>103</v>
      </c>
      <c r="G56">
        <v>1</v>
      </c>
    </row>
    <row r="57" spans="1:7" x14ac:dyDescent="0.25">
      <c r="A57" t="s">
        <v>158</v>
      </c>
      <c r="B57" t="s">
        <v>102</v>
      </c>
      <c r="C57">
        <v>0</v>
      </c>
      <c r="D57">
        <v>0</v>
      </c>
      <c r="E57">
        <v>0</v>
      </c>
      <c r="F57" t="s">
        <v>103</v>
      </c>
      <c r="G57">
        <v>1</v>
      </c>
    </row>
    <row r="58" spans="1:7" x14ac:dyDescent="0.25">
      <c r="A58" t="s">
        <v>159</v>
      </c>
      <c r="B58" t="s">
        <v>102</v>
      </c>
      <c r="C58">
        <v>0</v>
      </c>
      <c r="D58">
        <v>0</v>
      </c>
      <c r="E58">
        <v>0</v>
      </c>
      <c r="F58" t="s">
        <v>103</v>
      </c>
      <c r="G58">
        <v>1</v>
      </c>
    </row>
    <row r="59" spans="1:7" x14ac:dyDescent="0.25">
      <c r="A59" t="s">
        <v>160</v>
      </c>
      <c r="B59" t="s">
        <v>102</v>
      </c>
      <c r="C59">
        <v>0</v>
      </c>
      <c r="D59">
        <v>0</v>
      </c>
      <c r="E59">
        <v>0</v>
      </c>
      <c r="F59" t="s">
        <v>103</v>
      </c>
      <c r="G59">
        <v>1</v>
      </c>
    </row>
    <row r="60" spans="1:7" x14ac:dyDescent="0.25">
      <c r="A60" t="s">
        <v>161</v>
      </c>
      <c r="B60" t="s">
        <v>102</v>
      </c>
      <c r="C60">
        <v>0</v>
      </c>
      <c r="D60">
        <v>0</v>
      </c>
      <c r="E60">
        <v>0</v>
      </c>
      <c r="F60" t="s">
        <v>103</v>
      </c>
      <c r="G60">
        <v>1</v>
      </c>
    </row>
    <row r="61" spans="1:7" x14ac:dyDescent="0.25">
      <c r="A61" t="s">
        <v>162</v>
      </c>
      <c r="B61" t="s">
        <v>102</v>
      </c>
      <c r="C61">
        <v>0</v>
      </c>
      <c r="D61">
        <v>0</v>
      </c>
      <c r="E61">
        <v>0</v>
      </c>
      <c r="F61" t="s">
        <v>103</v>
      </c>
      <c r="G61">
        <v>1</v>
      </c>
    </row>
    <row r="62" spans="1:7" x14ac:dyDescent="0.25">
      <c r="A62" t="s">
        <v>163</v>
      </c>
      <c r="B62" t="s">
        <v>102</v>
      </c>
      <c r="C62">
        <v>2.2000000000000002</v>
      </c>
      <c r="D62">
        <v>0</v>
      </c>
      <c r="E62">
        <v>0</v>
      </c>
      <c r="F62" t="s">
        <v>103</v>
      </c>
      <c r="G62">
        <v>1</v>
      </c>
    </row>
    <row r="63" spans="1:7" x14ac:dyDescent="0.25">
      <c r="A63" t="s">
        <v>164</v>
      </c>
      <c r="B63" t="s">
        <v>102</v>
      </c>
      <c r="C63">
        <v>2.2000000000000002</v>
      </c>
      <c r="D63">
        <v>0</v>
      </c>
      <c r="E63">
        <v>0</v>
      </c>
      <c r="F63" t="s">
        <v>103</v>
      </c>
      <c r="G63">
        <v>1</v>
      </c>
    </row>
    <row r="64" spans="1:7" x14ac:dyDescent="0.25">
      <c r="A64" t="s">
        <v>165</v>
      </c>
      <c r="B64" t="s">
        <v>102</v>
      </c>
      <c r="C64">
        <v>2.2000000000000002</v>
      </c>
      <c r="D64">
        <v>0</v>
      </c>
      <c r="E64">
        <v>0</v>
      </c>
      <c r="F64" t="s">
        <v>103</v>
      </c>
      <c r="G64">
        <v>1</v>
      </c>
    </row>
    <row r="65" spans="1:7" x14ac:dyDescent="0.25">
      <c r="A65" t="s">
        <v>166</v>
      </c>
      <c r="B65" t="s">
        <v>102</v>
      </c>
      <c r="C65">
        <v>0</v>
      </c>
      <c r="D65">
        <v>0</v>
      </c>
      <c r="E65">
        <v>0</v>
      </c>
      <c r="F65" t="s">
        <v>103</v>
      </c>
      <c r="G65">
        <v>1</v>
      </c>
    </row>
    <row r="66" spans="1:7" x14ac:dyDescent="0.25">
      <c r="A66" t="s">
        <v>167</v>
      </c>
      <c r="B66" t="s">
        <v>102</v>
      </c>
      <c r="C66">
        <v>0</v>
      </c>
      <c r="D66">
        <v>0</v>
      </c>
      <c r="E66">
        <v>0</v>
      </c>
      <c r="F66" t="s">
        <v>103</v>
      </c>
      <c r="G66">
        <v>1</v>
      </c>
    </row>
    <row r="67" spans="1:7" x14ac:dyDescent="0.25">
      <c r="A67" t="s">
        <v>168</v>
      </c>
      <c r="B67" t="s">
        <v>102</v>
      </c>
      <c r="C67">
        <v>0</v>
      </c>
      <c r="D67">
        <v>0</v>
      </c>
      <c r="E67">
        <v>0</v>
      </c>
      <c r="F67" t="s">
        <v>103</v>
      </c>
      <c r="G67">
        <v>1</v>
      </c>
    </row>
    <row r="68" spans="1:7" x14ac:dyDescent="0.25">
      <c r="A68" t="s">
        <v>169</v>
      </c>
      <c r="B68" t="s">
        <v>102</v>
      </c>
      <c r="C68">
        <v>2.2000000000000002</v>
      </c>
      <c r="D68">
        <v>0</v>
      </c>
      <c r="E68">
        <v>0</v>
      </c>
      <c r="F68" t="s">
        <v>103</v>
      </c>
      <c r="G68">
        <v>1</v>
      </c>
    </row>
    <row r="69" spans="1:7" x14ac:dyDescent="0.25">
      <c r="A69" t="s">
        <v>170</v>
      </c>
      <c r="B69" t="s">
        <v>102</v>
      </c>
      <c r="C69">
        <v>2.2000000000000002</v>
      </c>
      <c r="D69">
        <v>0</v>
      </c>
      <c r="E69">
        <v>0</v>
      </c>
      <c r="F69" t="s">
        <v>103</v>
      </c>
      <c r="G69">
        <v>1</v>
      </c>
    </row>
    <row r="70" spans="1:7" x14ac:dyDescent="0.25">
      <c r="A70" t="s">
        <v>171</v>
      </c>
      <c r="B70" t="s">
        <v>102</v>
      </c>
      <c r="C70">
        <v>2.2000000000000002</v>
      </c>
      <c r="D70">
        <v>0</v>
      </c>
      <c r="E70">
        <v>0</v>
      </c>
      <c r="F70" t="s">
        <v>103</v>
      </c>
      <c r="G70">
        <v>1</v>
      </c>
    </row>
    <row r="71" spans="1:7" x14ac:dyDescent="0.25">
      <c r="A71" t="s">
        <v>172</v>
      </c>
      <c r="B71" t="s">
        <v>102</v>
      </c>
      <c r="C71">
        <v>0</v>
      </c>
      <c r="D71">
        <v>0</v>
      </c>
      <c r="E71">
        <v>0</v>
      </c>
      <c r="F71" t="s">
        <v>103</v>
      </c>
      <c r="G71">
        <v>1</v>
      </c>
    </row>
    <row r="72" spans="1:7" x14ac:dyDescent="0.25">
      <c r="A72" t="s">
        <v>173</v>
      </c>
      <c r="B72" t="s">
        <v>102</v>
      </c>
      <c r="C72">
        <v>0</v>
      </c>
      <c r="D72">
        <v>0</v>
      </c>
      <c r="E72">
        <v>0</v>
      </c>
      <c r="F72" t="s">
        <v>103</v>
      </c>
      <c r="G72">
        <v>1</v>
      </c>
    </row>
    <row r="73" spans="1:7" x14ac:dyDescent="0.25">
      <c r="A73" t="s">
        <v>174</v>
      </c>
      <c r="B73" t="s">
        <v>102</v>
      </c>
      <c r="C73">
        <v>0</v>
      </c>
      <c r="D73">
        <v>0</v>
      </c>
      <c r="E73">
        <v>0</v>
      </c>
      <c r="F73" t="s">
        <v>103</v>
      </c>
      <c r="G73">
        <v>1</v>
      </c>
    </row>
    <row r="74" spans="1:7" x14ac:dyDescent="0.25">
      <c r="A74" t="s">
        <v>175</v>
      </c>
      <c r="B74" t="s">
        <v>102</v>
      </c>
      <c r="C74">
        <v>2.2000000000000002</v>
      </c>
      <c r="D74">
        <v>0</v>
      </c>
      <c r="E74">
        <v>0</v>
      </c>
      <c r="F74" t="s">
        <v>103</v>
      </c>
      <c r="G74">
        <v>1</v>
      </c>
    </row>
    <row r="75" spans="1:7" x14ac:dyDescent="0.25">
      <c r="A75" t="s">
        <v>176</v>
      </c>
      <c r="B75" t="s">
        <v>102</v>
      </c>
      <c r="C75">
        <v>2.2000000000000002</v>
      </c>
      <c r="D75">
        <v>0</v>
      </c>
      <c r="E75">
        <v>0</v>
      </c>
      <c r="F75" t="s">
        <v>103</v>
      </c>
      <c r="G75">
        <v>1</v>
      </c>
    </row>
    <row r="76" spans="1:7" x14ac:dyDescent="0.25">
      <c r="A76" t="s">
        <v>177</v>
      </c>
      <c r="B76" t="s">
        <v>102</v>
      </c>
      <c r="C76">
        <v>2.2000000000000002</v>
      </c>
      <c r="D76">
        <v>0</v>
      </c>
      <c r="E76">
        <v>0</v>
      </c>
      <c r="F76" t="s">
        <v>103</v>
      </c>
      <c r="G76">
        <v>1</v>
      </c>
    </row>
    <row r="77" spans="1:7" x14ac:dyDescent="0.25">
      <c r="A77" t="s">
        <v>178</v>
      </c>
      <c r="B77" t="s">
        <v>102</v>
      </c>
      <c r="C77">
        <v>0</v>
      </c>
      <c r="D77">
        <v>0</v>
      </c>
      <c r="E77">
        <v>0</v>
      </c>
      <c r="F77" t="s">
        <v>103</v>
      </c>
      <c r="G77">
        <v>1</v>
      </c>
    </row>
    <row r="78" spans="1:7" x14ac:dyDescent="0.25">
      <c r="A78" t="s">
        <v>179</v>
      </c>
      <c r="B78" t="s">
        <v>102</v>
      </c>
      <c r="C78">
        <v>0</v>
      </c>
      <c r="D78">
        <v>0</v>
      </c>
      <c r="E78">
        <v>0</v>
      </c>
      <c r="F78" t="s">
        <v>103</v>
      </c>
      <c r="G78">
        <v>1</v>
      </c>
    </row>
    <row r="79" spans="1:7" x14ac:dyDescent="0.25">
      <c r="A79" t="s">
        <v>180</v>
      </c>
      <c r="B79" t="s">
        <v>102</v>
      </c>
      <c r="C79">
        <v>0</v>
      </c>
      <c r="D79">
        <v>0</v>
      </c>
      <c r="E79">
        <v>0</v>
      </c>
      <c r="F79" t="s">
        <v>103</v>
      </c>
      <c r="G79">
        <v>1</v>
      </c>
    </row>
    <row r="80" spans="1:7" x14ac:dyDescent="0.25">
      <c r="A80" t="s">
        <v>181</v>
      </c>
      <c r="B80" t="s">
        <v>102</v>
      </c>
      <c r="C80">
        <v>0</v>
      </c>
      <c r="D80">
        <v>0</v>
      </c>
      <c r="E80">
        <v>0</v>
      </c>
      <c r="F80" t="s">
        <v>103</v>
      </c>
      <c r="G80">
        <v>1</v>
      </c>
    </row>
    <row r="81" spans="1:7" x14ac:dyDescent="0.25">
      <c r="A81" t="s">
        <v>182</v>
      </c>
      <c r="B81" t="s">
        <v>102</v>
      </c>
      <c r="C81">
        <v>0</v>
      </c>
      <c r="D81">
        <v>0</v>
      </c>
      <c r="E81">
        <v>0</v>
      </c>
      <c r="F81" t="s">
        <v>103</v>
      </c>
      <c r="G81">
        <v>1</v>
      </c>
    </row>
    <row r="82" spans="1:7" x14ac:dyDescent="0.25">
      <c r="A82" t="s">
        <v>183</v>
      </c>
      <c r="B82" t="s">
        <v>102</v>
      </c>
      <c r="C82">
        <v>0</v>
      </c>
      <c r="D82">
        <v>0</v>
      </c>
      <c r="E82">
        <v>0</v>
      </c>
      <c r="F82" t="s">
        <v>103</v>
      </c>
      <c r="G82">
        <v>1</v>
      </c>
    </row>
    <row r="83" spans="1:7" x14ac:dyDescent="0.25">
      <c r="A83" t="s">
        <v>184</v>
      </c>
      <c r="B83" t="s">
        <v>102</v>
      </c>
      <c r="C83">
        <v>2.2000000000000002</v>
      </c>
      <c r="D83">
        <v>0</v>
      </c>
      <c r="E83">
        <v>0</v>
      </c>
      <c r="F83" t="s">
        <v>103</v>
      </c>
      <c r="G83">
        <v>1</v>
      </c>
    </row>
    <row r="84" spans="1:7" x14ac:dyDescent="0.25">
      <c r="A84" t="s">
        <v>185</v>
      </c>
      <c r="B84" t="s">
        <v>102</v>
      </c>
      <c r="C84">
        <v>2.2000000000000002</v>
      </c>
      <c r="D84">
        <v>0</v>
      </c>
      <c r="E84">
        <v>0</v>
      </c>
      <c r="F84" t="s">
        <v>103</v>
      </c>
      <c r="G84">
        <v>1</v>
      </c>
    </row>
    <row r="85" spans="1:7" x14ac:dyDescent="0.25">
      <c r="A85" t="s">
        <v>186</v>
      </c>
      <c r="B85" t="s">
        <v>102</v>
      </c>
      <c r="C85">
        <v>2.2000000000000002</v>
      </c>
      <c r="D85">
        <v>0</v>
      </c>
      <c r="E85">
        <v>0</v>
      </c>
      <c r="F85" t="s">
        <v>103</v>
      </c>
      <c r="G85">
        <v>1</v>
      </c>
    </row>
    <row r="86" spans="1:7" x14ac:dyDescent="0.25">
      <c r="A86" t="s">
        <v>187</v>
      </c>
      <c r="B86" t="s">
        <v>102</v>
      </c>
      <c r="C86">
        <v>0</v>
      </c>
      <c r="D86">
        <v>0</v>
      </c>
      <c r="E86">
        <v>0</v>
      </c>
      <c r="F86" t="s">
        <v>103</v>
      </c>
      <c r="G86">
        <v>1</v>
      </c>
    </row>
    <row r="87" spans="1:7" x14ac:dyDescent="0.25">
      <c r="A87" t="s">
        <v>188</v>
      </c>
      <c r="B87" t="s">
        <v>102</v>
      </c>
      <c r="C87">
        <v>0</v>
      </c>
      <c r="D87">
        <v>0</v>
      </c>
      <c r="E87">
        <v>0</v>
      </c>
      <c r="F87" t="s">
        <v>103</v>
      </c>
      <c r="G87">
        <v>1</v>
      </c>
    </row>
    <row r="88" spans="1:7" x14ac:dyDescent="0.25">
      <c r="A88" t="s">
        <v>189</v>
      </c>
      <c r="B88" t="s">
        <v>102</v>
      </c>
      <c r="C88">
        <v>0</v>
      </c>
      <c r="D88">
        <v>0</v>
      </c>
      <c r="E88">
        <v>0</v>
      </c>
      <c r="F88" t="s">
        <v>103</v>
      </c>
      <c r="G88">
        <v>1</v>
      </c>
    </row>
    <row r="89" spans="1:7" x14ac:dyDescent="0.25">
      <c r="A89" t="s">
        <v>190</v>
      </c>
      <c r="B89" t="s">
        <v>102</v>
      </c>
      <c r="C89">
        <v>2.2000000000000002</v>
      </c>
      <c r="D89">
        <v>0</v>
      </c>
      <c r="E89">
        <v>0</v>
      </c>
      <c r="F89" t="s">
        <v>103</v>
      </c>
      <c r="G89">
        <v>1</v>
      </c>
    </row>
    <row r="90" spans="1:7" x14ac:dyDescent="0.25">
      <c r="A90" t="s">
        <v>191</v>
      </c>
      <c r="B90" t="s">
        <v>102</v>
      </c>
      <c r="C90">
        <v>2.2000000000000002</v>
      </c>
      <c r="D90">
        <v>0</v>
      </c>
      <c r="E90">
        <v>0</v>
      </c>
      <c r="F90" t="s">
        <v>103</v>
      </c>
      <c r="G90">
        <v>1</v>
      </c>
    </row>
    <row r="91" spans="1:7" x14ac:dyDescent="0.25">
      <c r="A91" t="s">
        <v>192</v>
      </c>
      <c r="B91" t="s">
        <v>102</v>
      </c>
      <c r="C91">
        <v>2.2000000000000002</v>
      </c>
      <c r="D91">
        <v>0</v>
      </c>
      <c r="E91">
        <v>0</v>
      </c>
      <c r="F91" t="s">
        <v>103</v>
      </c>
      <c r="G91">
        <v>1</v>
      </c>
    </row>
    <row r="92" spans="1:7" x14ac:dyDescent="0.25">
      <c r="A92" t="s">
        <v>193</v>
      </c>
      <c r="B92" t="s">
        <v>102</v>
      </c>
      <c r="C92">
        <v>0</v>
      </c>
      <c r="D92">
        <v>0</v>
      </c>
      <c r="E92">
        <v>0</v>
      </c>
      <c r="F92" t="s">
        <v>103</v>
      </c>
      <c r="G92">
        <v>1</v>
      </c>
    </row>
    <row r="93" spans="1:7" x14ac:dyDescent="0.25">
      <c r="A93" t="s">
        <v>194</v>
      </c>
      <c r="B93" t="s">
        <v>102</v>
      </c>
      <c r="C93">
        <v>0</v>
      </c>
      <c r="D93">
        <v>0</v>
      </c>
      <c r="E93">
        <v>0</v>
      </c>
      <c r="F93" t="s">
        <v>103</v>
      </c>
      <c r="G93">
        <v>1</v>
      </c>
    </row>
    <row r="94" spans="1:7" x14ac:dyDescent="0.25">
      <c r="A94" t="s">
        <v>195</v>
      </c>
      <c r="B94" t="s">
        <v>102</v>
      </c>
      <c r="C94">
        <v>2.5</v>
      </c>
      <c r="D94">
        <v>0</v>
      </c>
      <c r="E94">
        <v>0</v>
      </c>
      <c r="F94" t="s">
        <v>103</v>
      </c>
      <c r="G94">
        <v>1</v>
      </c>
    </row>
    <row r="95" spans="1:7" x14ac:dyDescent="0.25">
      <c r="A95" t="s">
        <v>196</v>
      </c>
      <c r="B95" t="s">
        <v>102</v>
      </c>
      <c r="C95">
        <v>0</v>
      </c>
      <c r="D95">
        <v>0</v>
      </c>
      <c r="E95">
        <v>0</v>
      </c>
      <c r="F95" t="s">
        <v>103</v>
      </c>
      <c r="G95">
        <v>1</v>
      </c>
    </row>
    <row r="96" spans="1:7" x14ac:dyDescent="0.25">
      <c r="A96" t="s">
        <v>197</v>
      </c>
      <c r="B96" t="s">
        <v>102</v>
      </c>
      <c r="C96">
        <v>0</v>
      </c>
      <c r="D96">
        <v>0</v>
      </c>
      <c r="E96">
        <v>0</v>
      </c>
      <c r="F96" t="s">
        <v>103</v>
      </c>
      <c r="G96">
        <v>1</v>
      </c>
    </row>
    <row r="97" spans="1:7" x14ac:dyDescent="0.25">
      <c r="A97" t="s">
        <v>198</v>
      </c>
      <c r="B97" t="s">
        <v>102</v>
      </c>
      <c r="C97">
        <v>0</v>
      </c>
      <c r="D97">
        <v>0</v>
      </c>
      <c r="E97">
        <v>0</v>
      </c>
      <c r="F97" t="s">
        <v>103</v>
      </c>
      <c r="G97">
        <v>1</v>
      </c>
    </row>
    <row r="98" spans="1:7" x14ac:dyDescent="0.25">
      <c r="A98" t="s">
        <v>199</v>
      </c>
      <c r="B98" t="s">
        <v>102</v>
      </c>
      <c r="C98">
        <v>2.2000000000000002</v>
      </c>
      <c r="D98">
        <v>0</v>
      </c>
      <c r="E98">
        <v>0</v>
      </c>
      <c r="F98" t="s">
        <v>103</v>
      </c>
      <c r="G98">
        <v>1</v>
      </c>
    </row>
    <row r="99" spans="1:7" x14ac:dyDescent="0.25">
      <c r="A99" t="s">
        <v>200</v>
      </c>
      <c r="B99" t="s">
        <v>102</v>
      </c>
      <c r="C99">
        <v>2.2000000000000002</v>
      </c>
      <c r="D99">
        <v>0</v>
      </c>
      <c r="E99">
        <v>0</v>
      </c>
      <c r="F99" t="s">
        <v>103</v>
      </c>
      <c r="G99">
        <v>1</v>
      </c>
    </row>
    <row r="100" spans="1:7" x14ac:dyDescent="0.25">
      <c r="A100" t="s">
        <v>201</v>
      </c>
      <c r="B100" t="s">
        <v>102</v>
      </c>
      <c r="C100">
        <v>2.2000000000000002</v>
      </c>
      <c r="D100">
        <v>0</v>
      </c>
      <c r="E100">
        <v>0</v>
      </c>
      <c r="F100" t="s">
        <v>103</v>
      </c>
      <c r="G100">
        <v>1</v>
      </c>
    </row>
    <row r="101" spans="1:7" x14ac:dyDescent="0.25">
      <c r="A101" t="s">
        <v>202</v>
      </c>
      <c r="B101" t="s">
        <v>102</v>
      </c>
      <c r="C101">
        <v>0</v>
      </c>
      <c r="D101">
        <v>0</v>
      </c>
      <c r="E101">
        <v>0</v>
      </c>
      <c r="F101" t="s">
        <v>103</v>
      </c>
      <c r="G101">
        <v>1</v>
      </c>
    </row>
    <row r="102" spans="1:7" x14ac:dyDescent="0.25">
      <c r="A102" t="s">
        <v>203</v>
      </c>
      <c r="B102" t="s">
        <v>102</v>
      </c>
      <c r="C102">
        <v>0</v>
      </c>
      <c r="D102">
        <v>0</v>
      </c>
      <c r="E102">
        <v>0</v>
      </c>
      <c r="F102" t="s">
        <v>103</v>
      </c>
      <c r="G102">
        <v>1</v>
      </c>
    </row>
    <row r="103" spans="1:7" x14ac:dyDescent="0.25">
      <c r="A103" t="s">
        <v>204</v>
      </c>
      <c r="B103" t="s">
        <v>102</v>
      </c>
      <c r="C103">
        <v>0</v>
      </c>
      <c r="D103">
        <v>0</v>
      </c>
      <c r="E103">
        <v>0</v>
      </c>
      <c r="F103" t="s">
        <v>103</v>
      </c>
      <c r="G103">
        <v>1</v>
      </c>
    </row>
    <row r="104" spans="1:7" x14ac:dyDescent="0.25">
      <c r="A104" t="s">
        <v>205</v>
      </c>
      <c r="B104" t="s">
        <v>102</v>
      </c>
      <c r="C104">
        <v>2.2000000000000002</v>
      </c>
      <c r="D104">
        <v>0</v>
      </c>
      <c r="E104">
        <v>0</v>
      </c>
      <c r="F104" t="s">
        <v>103</v>
      </c>
      <c r="G104">
        <v>1</v>
      </c>
    </row>
    <row r="105" spans="1:7" x14ac:dyDescent="0.25">
      <c r="A105" t="s">
        <v>206</v>
      </c>
      <c r="B105" t="s">
        <v>102</v>
      </c>
      <c r="C105">
        <v>2.2000000000000002</v>
      </c>
      <c r="D105">
        <v>0</v>
      </c>
      <c r="E105">
        <v>0</v>
      </c>
      <c r="F105" t="s">
        <v>103</v>
      </c>
      <c r="G105">
        <v>1</v>
      </c>
    </row>
    <row r="106" spans="1:7" x14ac:dyDescent="0.25">
      <c r="A106" t="s">
        <v>207</v>
      </c>
      <c r="B106" t="s">
        <v>102</v>
      </c>
      <c r="C106">
        <v>2.2000000000000002</v>
      </c>
      <c r="D106">
        <v>0</v>
      </c>
      <c r="E106">
        <v>0</v>
      </c>
      <c r="F106" t="s">
        <v>103</v>
      </c>
      <c r="G106">
        <v>1</v>
      </c>
    </row>
    <row r="107" spans="1:7" x14ac:dyDescent="0.25">
      <c r="A107" t="s">
        <v>208</v>
      </c>
      <c r="B107" t="s">
        <v>102</v>
      </c>
      <c r="C107">
        <v>2.2000000000000002</v>
      </c>
      <c r="D107">
        <v>0</v>
      </c>
      <c r="E107">
        <v>0</v>
      </c>
      <c r="F107" t="s">
        <v>103</v>
      </c>
      <c r="G107">
        <v>1</v>
      </c>
    </row>
    <row r="108" spans="1:7" x14ac:dyDescent="0.25">
      <c r="A108" t="s">
        <v>209</v>
      </c>
      <c r="B108" t="s">
        <v>102</v>
      </c>
      <c r="C108">
        <v>2.2000000000000002</v>
      </c>
      <c r="D108">
        <v>0</v>
      </c>
      <c r="E108">
        <v>0</v>
      </c>
      <c r="F108" t="s">
        <v>103</v>
      </c>
      <c r="G108">
        <v>1</v>
      </c>
    </row>
    <row r="109" spans="1:7" x14ac:dyDescent="0.25">
      <c r="A109" t="s">
        <v>210</v>
      </c>
      <c r="B109" t="s">
        <v>102</v>
      </c>
      <c r="C109">
        <v>2.2000000000000002</v>
      </c>
      <c r="D109">
        <v>0</v>
      </c>
      <c r="E109">
        <v>0</v>
      </c>
      <c r="F109" t="s">
        <v>103</v>
      </c>
      <c r="G109">
        <v>1</v>
      </c>
    </row>
    <row r="110" spans="1:7" x14ac:dyDescent="0.25">
      <c r="A110" t="s">
        <v>211</v>
      </c>
      <c r="B110" t="s">
        <v>102</v>
      </c>
      <c r="C110">
        <v>2.2000000000000002</v>
      </c>
      <c r="D110">
        <v>0</v>
      </c>
      <c r="E110">
        <v>0</v>
      </c>
      <c r="F110" t="s">
        <v>103</v>
      </c>
      <c r="G110">
        <v>1</v>
      </c>
    </row>
    <row r="111" spans="1:7" x14ac:dyDescent="0.25">
      <c r="A111" t="s">
        <v>212</v>
      </c>
      <c r="B111" t="s">
        <v>102</v>
      </c>
      <c r="C111">
        <v>2.2000000000000002</v>
      </c>
      <c r="D111">
        <v>0</v>
      </c>
      <c r="E111">
        <v>0</v>
      </c>
      <c r="F111" t="s">
        <v>103</v>
      </c>
      <c r="G111">
        <v>1</v>
      </c>
    </row>
    <row r="112" spans="1:7" x14ac:dyDescent="0.25">
      <c r="A112" t="s">
        <v>213</v>
      </c>
      <c r="B112" t="s">
        <v>102</v>
      </c>
      <c r="C112">
        <v>2.2000000000000002</v>
      </c>
      <c r="D112">
        <v>0</v>
      </c>
      <c r="E112">
        <v>0</v>
      </c>
      <c r="F112" t="s">
        <v>103</v>
      </c>
      <c r="G112">
        <v>1</v>
      </c>
    </row>
    <row r="113" spans="1:7" x14ac:dyDescent="0.25">
      <c r="A113" t="s">
        <v>214</v>
      </c>
      <c r="B113" t="s">
        <v>102</v>
      </c>
      <c r="C113">
        <v>0</v>
      </c>
      <c r="D113">
        <v>0</v>
      </c>
      <c r="E113">
        <v>0</v>
      </c>
      <c r="F113" t="s">
        <v>103</v>
      </c>
      <c r="G113">
        <v>1</v>
      </c>
    </row>
    <row r="114" spans="1:7" x14ac:dyDescent="0.25">
      <c r="A114" t="s">
        <v>215</v>
      </c>
      <c r="B114" t="s">
        <v>102</v>
      </c>
      <c r="C114">
        <v>0</v>
      </c>
      <c r="D114">
        <v>0</v>
      </c>
      <c r="E114">
        <v>0</v>
      </c>
      <c r="F114" t="s">
        <v>103</v>
      </c>
      <c r="G114">
        <v>1</v>
      </c>
    </row>
    <row r="115" spans="1:7" x14ac:dyDescent="0.25">
      <c r="A115" t="s">
        <v>216</v>
      </c>
      <c r="B115" t="s">
        <v>102</v>
      </c>
      <c r="C115">
        <v>0</v>
      </c>
      <c r="D115">
        <v>0</v>
      </c>
      <c r="E115">
        <v>0</v>
      </c>
      <c r="F115" t="s">
        <v>103</v>
      </c>
      <c r="G115">
        <v>1</v>
      </c>
    </row>
    <row r="116" spans="1:7" x14ac:dyDescent="0.25">
      <c r="A116" t="s">
        <v>217</v>
      </c>
      <c r="B116" t="s">
        <v>102</v>
      </c>
      <c r="C116">
        <v>2.2000000000000002</v>
      </c>
      <c r="D116">
        <v>0</v>
      </c>
      <c r="E116">
        <v>0</v>
      </c>
      <c r="F116" t="s">
        <v>103</v>
      </c>
      <c r="G116">
        <v>1</v>
      </c>
    </row>
    <row r="117" spans="1:7" x14ac:dyDescent="0.25">
      <c r="A117" t="s">
        <v>218</v>
      </c>
      <c r="B117" t="s">
        <v>102</v>
      </c>
      <c r="C117">
        <v>2.2000000000000002</v>
      </c>
      <c r="D117">
        <v>0</v>
      </c>
      <c r="E117">
        <v>0</v>
      </c>
      <c r="F117" t="s">
        <v>103</v>
      </c>
      <c r="G117">
        <v>1</v>
      </c>
    </row>
    <row r="118" spans="1:7" x14ac:dyDescent="0.25">
      <c r="A118" t="s">
        <v>219</v>
      </c>
      <c r="B118" t="s">
        <v>102</v>
      </c>
      <c r="C118">
        <v>2.2000000000000002</v>
      </c>
      <c r="D118">
        <v>0</v>
      </c>
      <c r="E118">
        <v>0</v>
      </c>
      <c r="F118" t="s">
        <v>103</v>
      </c>
      <c r="G118">
        <v>1</v>
      </c>
    </row>
    <row r="119" spans="1:7" x14ac:dyDescent="0.25">
      <c r="A119" t="s">
        <v>220</v>
      </c>
      <c r="B119" t="s">
        <v>102</v>
      </c>
      <c r="C119">
        <v>0</v>
      </c>
      <c r="D119">
        <v>0</v>
      </c>
      <c r="E119">
        <v>0</v>
      </c>
      <c r="F119" t="s">
        <v>103</v>
      </c>
      <c r="G119">
        <v>1</v>
      </c>
    </row>
    <row r="120" spans="1:7" x14ac:dyDescent="0.25">
      <c r="A120" t="s">
        <v>221</v>
      </c>
      <c r="B120" t="s">
        <v>102</v>
      </c>
      <c r="C120">
        <v>0</v>
      </c>
      <c r="D120">
        <v>0</v>
      </c>
      <c r="E120">
        <v>0</v>
      </c>
      <c r="F120" t="s">
        <v>103</v>
      </c>
      <c r="G120">
        <v>1</v>
      </c>
    </row>
    <row r="121" spans="1:7" x14ac:dyDescent="0.25">
      <c r="A121" t="s">
        <v>222</v>
      </c>
      <c r="B121" t="s">
        <v>102</v>
      </c>
      <c r="C121">
        <v>0</v>
      </c>
      <c r="D121">
        <v>0</v>
      </c>
      <c r="E121">
        <v>0</v>
      </c>
      <c r="F121" t="s">
        <v>103</v>
      </c>
      <c r="G121">
        <v>1</v>
      </c>
    </row>
    <row r="122" spans="1:7" x14ac:dyDescent="0.25">
      <c r="A122" t="s">
        <v>223</v>
      </c>
      <c r="B122" t="s">
        <v>102</v>
      </c>
      <c r="C122">
        <v>2.2000000000000002</v>
      </c>
      <c r="D122">
        <v>0</v>
      </c>
      <c r="E122">
        <v>0</v>
      </c>
      <c r="F122" t="s">
        <v>103</v>
      </c>
      <c r="G122">
        <v>1</v>
      </c>
    </row>
    <row r="123" spans="1:7" x14ac:dyDescent="0.25">
      <c r="A123" t="s">
        <v>224</v>
      </c>
      <c r="B123" t="s">
        <v>102</v>
      </c>
      <c r="C123">
        <v>2.2000000000000002</v>
      </c>
      <c r="D123">
        <v>0</v>
      </c>
      <c r="E123">
        <v>0</v>
      </c>
      <c r="F123" t="s">
        <v>103</v>
      </c>
      <c r="G123">
        <v>1</v>
      </c>
    </row>
    <row r="124" spans="1:7" x14ac:dyDescent="0.25">
      <c r="A124" t="s">
        <v>225</v>
      </c>
      <c r="B124" t="s">
        <v>102</v>
      </c>
      <c r="C124">
        <v>2.2000000000000002</v>
      </c>
      <c r="D124">
        <v>0</v>
      </c>
      <c r="E124">
        <v>0</v>
      </c>
      <c r="F124" t="s">
        <v>103</v>
      </c>
      <c r="G124">
        <v>1</v>
      </c>
    </row>
    <row r="125" spans="1:7" x14ac:dyDescent="0.25">
      <c r="A125" t="s">
        <v>226</v>
      </c>
      <c r="B125" t="s">
        <v>102</v>
      </c>
      <c r="C125">
        <v>0</v>
      </c>
      <c r="D125">
        <v>0</v>
      </c>
      <c r="E125">
        <v>0</v>
      </c>
      <c r="F125" t="s">
        <v>103</v>
      </c>
      <c r="G125">
        <v>1</v>
      </c>
    </row>
    <row r="126" spans="1:7" x14ac:dyDescent="0.25">
      <c r="A126" t="s">
        <v>227</v>
      </c>
      <c r="B126" t="s">
        <v>102</v>
      </c>
      <c r="C126">
        <v>0</v>
      </c>
      <c r="D126">
        <v>0</v>
      </c>
      <c r="E126">
        <v>0</v>
      </c>
      <c r="F126" t="s">
        <v>103</v>
      </c>
      <c r="G126">
        <v>1</v>
      </c>
    </row>
    <row r="127" spans="1:7" x14ac:dyDescent="0.25">
      <c r="A127" t="s">
        <v>228</v>
      </c>
      <c r="B127" t="s">
        <v>102</v>
      </c>
      <c r="C127">
        <v>2.5</v>
      </c>
      <c r="D127">
        <v>0</v>
      </c>
      <c r="E127">
        <v>0</v>
      </c>
      <c r="F127" t="s">
        <v>103</v>
      </c>
      <c r="G127">
        <v>1</v>
      </c>
    </row>
    <row r="128" spans="1:7" x14ac:dyDescent="0.25">
      <c r="A128" t="s">
        <v>229</v>
      </c>
      <c r="B128" t="s">
        <v>102</v>
      </c>
      <c r="C128">
        <v>0</v>
      </c>
      <c r="D128">
        <v>0</v>
      </c>
      <c r="E128">
        <v>0</v>
      </c>
      <c r="F128" t="s">
        <v>103</v>
      </c>
      <c r="G128">
        <v>1</v>
      </c>
    </row>
    <row r="129" spans="1:7" x14ac:dyDescent="0.25">
      <c r="A129" t="s">
        <v>230</v>
      </c>
      <c r="B129" t="s">
        <v>102</v>
      </c>
      <c r="C129">
        <v>0</v>
      </c>
      <c r="D129">
        <v>0</v>
      </c>
      <c r="E129">
        <v>0</v>
      </c>
      <c r="F129" t="s">
        <v>103</v>
      </c>
      <c r="G129">
        <v>1</v>
      </c>
    </row>
    <row r="130" spans="1:7" x14ac:dyDescent="0.25">
      <c r="A130" t="s">
        <v>231</v>
      </c>
      <c r="B130" t="s">
        <v>102</v>
      </c>
      <c r="C130">
        <v>0</v>
      </c>
      <c r="D130">
        <v>0</v>
      </c>
      <c r="E130">
        <v>0</v>
      </c>
      <c r="F130" t="s">
        <v>103</v>
      </c>
      <c r="G130">
        <v>1</v>
      </c>
    </row>
    <row r="131" spans="1:7" x14ac:dyDescent="0.25">
      <c r="A131" t="s">
        <v>232</v>
      </c>
      <c r="B131" t="s">
        <v>102</v>
      </c>
      <c r="C131">
        <v>2.2000000000000002</v>
      </c>
      <c r="D131">
        <v>0</v>
      </c>
      <c r="E131">
        <v>0</v>
      </c>
      <c r="F131" t="s">
        <v>103</v>
      </c>
      <c r="G131">
        <v>1</v>
      </c>
    </row>
    <row r="132" spans="1:7" x14ac:dyDescent="0.25">
      <c r="A132" t="s">
        <v>233</v>
      </c>
      <c r="B132" t="s">
        <v>102</v>
      </c>
      <c r="C132">
        <v>2.2000000000000002</v>
      </c>
      <c r="D132">
        <v>0</v>
      </c>
      <c r="E132">
        <v>0</v>
      </c>
      <c r="F132" t="s">
        <v>103</v>
      </c>
      <c r="G132">
        <v>1</v>
      </c>
    </row>
    <row r="133" spans="1:7" x14ac:dyDescent="0.25">
      <c r="A133" t="s">
        <v>234</v>
      </c>
      <c r="B133" t="s">
        <v>102</v>
      </c>
      <c r="C133">
        <v>2.2000000000000002</v>
      </c>
      <c r="D133">
        <v>0</v>
      </c>
      <c r="E133">
        <v>0</v>
      </c>
      <c r="F133" t="s">
        <v>103</v>
      </c>
      <c r="G133">
        <v>1</v>
      </c>
    </row>
    <row r="134" spans="1:7" x14ac:dyDescent="0.25">
      <c r="A134" t="s">
        <v>235</v>
      </c>
      <c r="B134" t="s">
        <v>102</v>
      </c>
      <c r="C134">
        <v>0</v>
      </c>
      <c r="D134">
        <v>0</v>
      </c>
      <c r="E134">
        <v>0</v>
      </c>
      <c r="F134" t="s">
        <v>103</v>
      </c>
      <c r="G134">
        <v>1</v>
      </c>
    </row>
    <row r="135" spans="1:7" x14ac:dyDescent="0.25">
      <c r="A135" t="s">
        <v>236</v>
      </c>
      <c r="B135" t="s">
        <v>102</v>
      </c>
      <c r="C135">
        <v>0</v>
      </c>
      <c r="D135">
        <v>0</v>
      </c>
      <c r="E135">
        <v>0</v>
      </c>
      <c r="F135" t="s">
        <v>103</v>
      </c>
      <c r="G135">
        <v>1</v>
      </c>
    </row>
    <row r="136" spans="1:7" x14ac:dyDescent="0.25">
      <c r="A136" t="s">
        <v>237</v>
      </c>
      <c r="B136" t="s">
        <v>102</v>
      </c>
      <c r="C136">
        <v>0</v>
      </c>
      <c r="D136">
        <v>0</v>
      </c>
      <c r="E136">
        <v>0</v>
      </c>
      <c r="F136" t="s">
        <v>103</v>
      </c>
      <c r="G136">
        <v>1</v>
      </c>
    </row>
    <row r="137" spans="1:7" x14ac:dyDescent="0.25">
      <c r="A137" t="s">
        <v>238</v>
      </c>
      <c r="B137" t="s">
        <v>102</v>
      </c>
      <c r="C137">
        <v>2.2000000000000002</v>
      </c>
      <c r="D137">
        <v>0</v>
      </c>
      <c r="E137">
        <v>0</v>
      </c>
      <c r="F137" t="s">
        <v>103</v>
      </c>
      <c r="G137">
        <v>1</v>
      </c>
    </row>
    <row r="138" spans="1:7" x14ac:dyDescent="0.25">
      <c r="A138" t="s">
        <v>239</v>
      </c>
      <c r="B138" t="s">
        <v>102</v>
      </c>
      <c r="C138">
        <v>2.2000000000000002</v>
      </c>
      <c r="D138">
        <v>0</v>
      </c>
      <c r="E138">
        <v>0</v>
      </c>
      <c r="F138" t="s">
        <v>103</v>
      </c>
      <c r="G138">
        <v>1</v>
      </c>
    </row>
    <row r="139" spans="1:7" x14ac:dyDescent="0.25">
      <c r="A139" t="s">
        <v>240</v>
      </c>
      <c r="B139" t="s">
        <v>102</v>
      </c>
      <c r="C139">
        <v>2.2000000000000002</v>
      </c>
      <c r="D139">
        <v>0</v>
      </c>
      <c r="E139">
        <v>0</v>
      </c>
      <c r="F139" t="s">
        <v>103</v>
      </c>
      <c r="G139">
        <v>1</v>
      </c>
    </row>
    <row r="140" spans="1:7" x14ac:dyDescent="0.25">
      <c r="A140" t="s">
        <v>241</v>
      </c>
      <c r="B140" t="s">
        <v>102</v>
      </c>
      <c r="C140">
        <v>2.2000000000000002</v>
      </c>
      <c r="D140">
        <v>0</v>
      </c>
      <c r="E140">
        <v>0</v>
      </c>
      <c r="F140" t="s">
        <v>103</v>
      </c>
      <c r="G140">
        <v>1</v>
      </c>
    </row>
    <row r="141" spans="1:7" x14ac:dyDescent="0.25">
      <c r="A141" t="s">
        <v>242</v>
      </c>
      <c r="B141" t="s">
        <v>102</v>
      </c>
      <c r="C141">
        <v>2.2000000000000002</v>
      </c>
      <c r="D141">
        <v>0</v>
      </c>
      <c r="E141">
        <v>0</v>
      </c>
      <c r="F141" t="s">
        <v>103</v>
      </c>
      <c r="G141">
        <v>1</v>
      </c>
    </row>
    <row r="142" spans="1:7" x14ac:dyDescent="0.25">
      <c r="A142" t="s">
        <v>243</v>
      </c>
      <c r="B142" t="s">
        <v>102</v>
      </c>
      <c r="C142">
        <v>2.2000000000000002</v>
      </c>
      <c r="D142">
        <v>0</v>
      </c>
      <c r="E142">
        <v>0</v>
      </c>
      <c r="F142" t="s">
        <v>103</v>
      </c>
      <c r="G142">
        <v>1</v>
      </c>
    </row>
    <row r="143" spans="1:7" x14ac:dyDescent="0.25">
      <c r="A143" t="s">
        <v>244</v>
      </c>
      <c r="B143" t="s">
        <v>102</v>
      </c>
      <c r="C143">
        <v>2.2000000000000002</v>
      </c>
      <c r="D143">
        <v>0</v>
      </c>
      <c r="E143">
        <v>0</v>
      </c>
      <c r="F143" t="s">
        <v>103</v>
      </c>
      <c r="G143">
        <v>1</v>
      </c>
    </row>
    <row r="144" spans="1:7" x14ac:dyDescent="0.25">
      <c r="A144" t="s">
        <v>245</v>
      </c>
      <c r="B144" t="s">
        <v>102</v>
      </c>
      <c r="C144">
        <v>2.2000000000000002</v>
      </c>
      <c r="D144">
        <v>0</v>
      </c>
      <c r="E144">
        <v>0</v>
      </c>
      <c r="F144" t="s">
        <v>103</v>
      </c>
      <c r="G144">
        <v>1</v>
      </c>
    </row>
    <row r="145" spans="1:7" x14ac:dyDescent="0.25">
      <c r="A145" t="s">
        <v>246</v>
      </c>
      <c r="B145" t="s">
        <v>102</v>
      </c>
      <c r="C145">
        <v>2.2000000000000002</v>
      </c>
      <c r="D145">
        <v>0</v>
      </c>
      <c r="E145">
        <v>0</v>
      </c>
      <c r="F145" t="s">
        <v>103</v>
      </c>
      <c r="G145">
        <v>1</v>
      </c>
    </row>
    <row r="146" spans="1:7" x14ac:dyDescent="0.25">
      <c r="A146" t="s">
        <v>247</v>
      </c>
      <c r="B146" t="s">
        <v>102</v>
      </c>
      <c r="C146">
        <v>0</v>
      </c>
      <c r="D146">
        <v>0</v>
      </c>
      <c r="E146">
        <v>0</v>
      </c>
      <c r="F146" t="s">
        <v>103</v>
      </c>
      <c r="G146">
        <v>1</v>
      </c>
    </row>
    <row r="147" spans="1:7" x14ac:dyDescent="0.25">
      <c r="A147" t="s">
        <v>248</v>
      </c>
      <c r="B147" t="s">
        <v>102</v>
      </c>
      <c r="C147">
        <v>0</v>
      </c>
      <c r="D147">
        <v>0</v>
      </c>
      <c r="E147">
        <v>0</v>
      </c>
      <c r="F147" t="s">
        <v>103</v>
      </c>
      <c r="G147">
        <v>1</v>
      </c>
    </row>
    <row r="148" spans="1:7" x14ac:dyDescent="0.25">
      <c r="A148" t="s">
        <v>249</v>
      </c>
      <c r="B148" t="s">
        <v>102</v>
      </c>
      <c r="C148">
        <v>0</v>
      </c>
      <c r="D148">
        <v>0</v>
      </c>
      <c r="E148">
        <v>0</v>
      </c>
      <c r="F148" t="s">
        <v>103</v>
      </c>
      <c r="G148">
        <v>1</v>
      </c>
    </row>
    <row r="149" spans="1:7" x14ac:dyDescent="0.25">
      <c r="A149" t="s">
        <v>250</v>
      </c>
      <c r="B149" t="s">
        <v>102</v>
      </c>
      <c r="C149">
        <v>2.2000000000000002</v>
      </c>
      <c r="D149">
        <v>0</v>
      </c>
      <c r="E149">
        <v>0</v>
      </c>
      <c r="F149" t="s">
        <v>103</v>
      </c>
      <c r="G149">
        <v>1</v>
      </c>
    </row>
    <row r="150" spans="1:7" x14ac:dyDescent="0.25">
      <c r="A150" t="s">
        <v>251</v>
      </c>
      <c r="B150" t="s">
        <v>102</v>
      </c>
      <c r="C150">
        <v>2.2000000000000002</v>
      </c>
      <c r="D150">
        <v>0</v>
      </c>
      <c r="E150">
        <v>0</v>
      </c>
      <c r="F150" t="s">
        <v>103</v>
      </c>
      <c r="G150">
        <v>1</v>
      </c>
    </row>
    <row r="151" spans="1:7" x14ac:dyDescent="0.25">
      <c r="A151" t="s">
        <v>252</v>
      </c>
      <c r="B151" t="s">
        <v>102</v>
      </c>
      <c r="C151">
        <v>2.2000000000000002</v>
      </c>
      <c r="D151">
        <v>0</v>
      </c>
      <c r="E151">
        <v>0</v>
      </c>
      <c r="F151" t="s">
        <v>103</v>
      </c>
      <c r="G151">
        <v>1</v>
      </c>
    </row>
    <row r="152" spans="1:7" x14ac:dyDescent="0.25">
      <c r="A152" t="s">
        <v>253</v>
      </c>
      <c r="B152" t="s">
        <v>102</v>
      </c>
      <c r="C152">
        <v>0</v>
      </c>
      <c r="D152">
        <v>0</v>
      </c>
      <c r="E152">
        <v>0</v>
      </c>
      <c r="F152" t="s">
        <v>103</v>
      </c>
      <c r="G152">
        <v>1</v>
      </c>
    </row>
    <row r="153" spans="1:7" x14ac:dyDescent="0.25">
      <c r="A153" t="s">
        <v>254</v>
      </c>
      <c r="B153" t="s">
        <v>102</v>
      </c>
      <c r="C153">
        <v>0</v>
      </c>
      <c r="D153">
        <v>0</v>
      </c>
      <c r="E153">
        <v>0</v>
      </c>
      <c r="F153" t="s">
        <v>103</v>
      </c>
      <c r="G153">
        <v>1</v>
      </c>
    </row>
    <row r="154" spans="1:7" x14ac:dyDescent="0.25">
      <c r="A154" t="s">
        <v>255</v>
      </c>
      <c r="B154" t="s">
        <v>102</v>
      </c>
      <c r="C154">
        <v>0</v>
      </c>
      <c r="D154">
        <v>0</v>
      </c>
      <c r="E154">
        <v>0</v>
      </c>
      <c r="F154" t="s">
        <v>103</v>
      </c>
      <c r="G154">
        <v>1</v>
      </c>
    </row>
    <row r="155" spans="1:7" x14ac:dyDescent="0.25">
      <c r="A155" t="s">
        <v>256</v>
      </c>
      <c r="B155" t="s">
        <v>102</v>
      </c>
      <c r="C155">
        <v>2.2000000000000002</v>
      </c>
      <c r="D155">
        <v>0</v>
      </c>
      <c r="E155">
        <v>0</v>
      </c>
      <c r="F155" t="s">
        <v>103</v>
      </c>
      <c r="G155">
        <v>1</v>
      </c>
    </row>
    <row r="156" spans="1:7" x14ac:dyDescent="0.25">
      <c r="A156" t="s">
        <v>257</v>
      </c>
      <c r="B156" t="s">
        <v>102</v>
      </c>
      <c r="C156">
        <v>2.2000000000000002</v>
      </c>
      <c r="D156">
        <v>0</v>
      </c>
      <c r="E156">
        <v>0</v>
      </c>
      <c r="F156" t="s">
        <v>103</v>
      </c>
      <c r="G156">
        <v>1</v>
      </c>
    </row>
    <row r="157" spans="1:7" x14ac:dyDescent="0.25">
      <c r="A157" t="s">
        <v>258</v>
      </c>
      <c r="B157" t="s">
        <v>102</v>
      </c>
      <c r="C157">
        <v>2.2000000000000002</v>
      </c>
      <c r="D157">
        <v>0</v>
      </c>
      <c r="E157">
        <v>0</v>
      </c>
      <c r="F157" t="s">
        <v>103</v>
      </c>
      <c r="G157">
        <v>1</v>
      </c>
    </row>
    <row r="158" spans="1:7" x14ac:dyDescent="0.25">
      <c r="A158" t="s">
        <v>259</v>
      </c>
      <c r="B158" t="s">
        <v>102</v>
      </c>
      <c r="C158">
        <v>0</v>
      </c>
      <c r="D158">
        <v>0</v>
      </c>
      <c r="E158">
        <v>0</v>
      </c>
      <c r="F158" t="s">
        <v>103</v>
      </c>
      <c r="G158">
        <v>1</v>
      </c>
    </row>
    <row r="159" spans="1:7" x14ac:dyDescent="0.25">
      <c r="A159" t="s">
        <v>260</v>
      </c>
      <c r="B159" t="s">
        <v>102</v>
      </c>
      <c r="C159">
        <v>0</v>
      </c>
      <c r="D159">
        <v>0</v>
      </c>
      <c r="E159">
        <v>0</v>
      </c>
      <c r="F159" t="s">
        <v>103</v>
      </c>
      <c r="G159">
        <v>1</v>
      </c>
    </row>
    <row r="160" spans="1:7" x14ac:dyDescent="0.25">
      <c r="A160" t="s">
        <v>261</v>
      </c>
      <c r="B160" t="s">
        <v>102</v>
      </c>
      <c r="C160">
        <v>2.5</v>
      </c>
      <c r="D160">
        <v>0</v>
      </c>
      <c r="E160">
        <v>0</v>
      </c>
      <c r="F160" t="s">
        <v>103</v>
      </c>
      <c r="G160">
        <v>1</v>
      </c>
    </row>
    <row r="161" spans="1:7" x14ac:dyDescent="0.25">
      <c r="A161" t="s">
        <v>262</v>
      </c>
      <c r="B161" t="s">
        <v>102</v>
      </c>
      <c r="C161">
        <v>0</v>
      </c>
      <c r="D161">
        <v>0</v>
      </c>
      <c r="E161">
        <v>0</v>
      </c>
      <c r="F161" t="s">
        <v>103</v>
      </c>
      <c r="G161">
        <v>1</v>
      </c>
    </row>
    <row r="162" spans="1:7" x14ac:dyDescent="0.25">
      <c r="A162" t="s">
        <v>263</v>
      </c>
      <c r="B162" t="s">
        <v>102</v>
      </c>
      <c r="C162">
        <v>0</v>
      </c>
      <c r="D162">
        <v>0</v>
      </c>
      <c r="E162">
        <v>0</v>
      </c>
      <c r="F162" t="s">
        <v>103</v>
      </c>
      <c r="G162">
        <v>1</v>
      </c>
    </row>
    <row r="163" spans="1:7" x14ac:dyDescent="0.25">
      <c r="A163" t="s">
        <v>264</v>
      </c>
      <c r="B163" t="s">
        <v>102</v>
      </c>
      <c r="C163">
        <v>0</v>
      </c>
      <c r="D163">
        <v>0</v>
      </c>
      <c r="E163">
        <v>0</v>
      </c>
      <c r="F163" t="s">
        <v>103</v>
      </c>
      <c r="G163">
        <v>1</v>
      </c>
    </row>
    <row r="164" spans="1:7" x14ac:dyDescent="0.25">
      <c r="A164" t="s">
        <v>265</v>
      </c>
      <c r="B164" t="s">
        <v>102</v>
      </c>
      <c r="C164">
        <v>2.2000000000000002</v>
      </c>
      <c r="D164">
        <v>0</v>
      </c>
      <c r="E164">
        <v>0</v>
      </c>
      <c r="F164" t="s">
        <v>103</v>
      </c>
      <c r="G164">
        <v>1</v>
      </c>
    </row>
    <row r="165" spans="1:7" x14ac:dyDescent="0.25">
      <c r="A165" t="s">
        <v>266</v>
      </c>
      <c r="B165" t="s">
        <v>102</v>
      </c>
      <c r="C165">
        <v>2.2000000000000002</v>
      </c>
      <c r="D165">
        <v>0</v>
      </c>
      <c r="E165">
        <v>0</v>
      </c>
      <c r="F165" t="s">
        <v>103</v>
      </c>
      <c r="G165">
        <v>1</v>
      </c>
    </row>
    <row r="166" spans="1:7" x14ac:dyDescent="0.25">
      <c r="A166" t="s">
        <v>267</v>
      </c>
      <c r="B166" t="s">
        <v>102</v>
      </c>
      <c r="C166">
        <v>2.2000000000000002</v>
      </c>
      <c r="D166">
        <v>0</v>
      </c>
      <c r="E166">
        <v>0</v>
      </c>
      <c r="F166" t="s">
        <v>103</v>
      </c>
      <c r="G16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4"/>
  <sheetViews>
    <sheetView workbookViewId="0"/>
  </sheetViews>
  <sheetFormatPr defaultRowHeight="15" x14ac:dyDescent="0.25"/>
  <sheetData>
    <row r="1" spans="1:4" x14ac:dyDescent="0.25">
      <c r="A1" t="s">
        <v>32</v>
      </c>
      <c r="B1" t="s">
        <v>33</v>
      </c>
      <c r="C1" t="s">
        <v>96</v>
      </c>
      <c r="D1" t="s">
        <v>97</v>
      </c>
    </row>
    <row r="2" spans="1:4" x14ac:dyDescent="0.25">
      <c r="A2" t="s">
        <v>268</v>
      </c>
      <c r="B2" t="s">
        <v>269</v>
      </c>
      <c r="C2">
        <v>0</v>
      </c>
      <c r="D2">
        <v>0</v>
      </c>
    </row>
    <row r="3" spans="1:4" x14ac:dyDescent="0.25">
      <c r="A3" t="s">
        <v>270</v>
      </c>
      <c r="B3" t="s">
        <v>269</v>
      </c>
      <c r="C3">
        <v>0</v>
      </c>
      <c r="D3">
        <v>0</v>
      </c>
    </row>
    <row r="4" spans="1:4" x14ac:dyDescent="0.25">
      <c r="A4" t="s">
        <v>271</v>
      </c>
      <c r="B4" t="s">
        <v>269</v>
      </c>
      <c r="C4">
        <v>0</v>
      </c>
      <c r="D4">
        <v>0</v>
      </c>
    </row>
    <row r="5" spans="1:4" x14ac:dyDescent="0.25">
      <c r="A5" t="s">
        <v>272</v>
      </c>
      <c r="B5" t="s">
        <v>269</v>
      </c>
      <c r="C5">
        <v>0</v>
      </c>
      <c r="D5">
        <v>0</v>
      </c>
    </row>
    <row r="6" spans="1:4" x14ac:dyDescent="0.25">
      <c r="A6" t="s">
        <v>273</v>
      </c>
      <c r="B6" t="s">
        <v>269</v>
      </c>
      <c r="C6">
        <v>0</v>
      </c>
      <c r="D6">
        <v>0</v>
      </c>
    </row>
    <row r="7" spans="1:4" x14ac:dyDescent="0.25">
      <c r="A7" t="s">
        <v>274</v>
      </c>
      <c r="B7" t="s">
        <v>269</v>
      </c>
      <c r="C7">
        <v>0</v>
      </c>
      <c r="D7">
        <v>0</v>
      </c>
    </row>
    <row r="8" spans="1:4" x14ac:dyDescent="0.25">
      <c r="A8" t="s">
        <v>275</v>
      </c>
      <c r="B8" t="s">
        <v>269</v>
      </c>
      <c r="C8">
        <v>0</v>
      </c>
      <c r="D8">
        <v>0</v>
      </c>
    </row>
    <row r="9" spans="1:4" x14ac:dyDescent="0.25">
      <c r="A9" t="s">
        <v>276</v>
      </c>
      <c r="B9" t="s">
        <v>269</v>
      </c>
      <c r="C9">
        <v>0</v>
      </c>
      <c r="D9">
        <v>0</v>
      </c>
    </row>
    <row r="10" spans="1:4" x14ac:dyDescent="0.25">
      <c r="A10" t="s">
        <v>277</v>
      </c>
      <c r="B10" t="s">
        <v>269</v>
      </c>
      <c r="C10">
        <v>0</v>
      </c>
      <c r="D10">
        <v>0</v>
      </c>
    </row>
    <row r="11" spans="1:4" x14ac:dyDescent="0.25">
      <c r="A11" t="s">
        <v>278</v>
      </c>
      <c r="B11" t="s">
        <v>269</v>
      </c>
      <c r="C11">
        <v>0</v>
      </c>
      <c r="D11">
        <v>0</v>
      </c>
    </row>
    <row r="12" spans="1:4" x14ac:dyDescent="0.25">
      <c r="A12" t="s">
        <v>279</v>
      </c>
      <c r="B12" t="s">
        <v>269</v>
      </c>
      <c r="C12">
        <v>0</v>
      </c>
      <c r="D12">
        <v>0</v>
      </c>
    </row>
    <row r="13" spans="1:4" x14ac:dyDescent="0.25">
      <c r="A13" t="s">
        <v>280</v>
      </c>
      <c r="B13" t="s">
        <v>269</v>
      </c>
      <c r="C13">
        <v>0</v>
      </c>
      <c r="D13">
        <v>0</v>
      </c>
    </row>
    <row r="14" spans="1:4" x14ac:dyDescent="0.25">
      <c r="A14" t="s">
        <v>281</v>
      </c>
      <c r="B14" t="s">
        <v>269</v>
      </c>
      <c r="C14">
        <v>0</v>
      </c>
      <c r="D14">
        <v>0</v>
      </c>
    </row>
    <row r="15" spans="1:4" x14ac:dyDescent="0.25">
      <c r="A15" t="s">
        <v>282</v>
      </c>
      <c r="B15" t="s">
        <v>269</v>
      </c>
      <c r="C15">
        <v>0</v>
      </c>
      <c r="D15">
        <v>0</v>
      </c>
    </row>
    <row r="16" spans="1:4" x14ac:dyDescent="0.25">
      <c r="A16" t="s">
        <v>283</v>
      </c>
      <c r="B16" t="s">
        <v>269</v>
      </c>
      <c r="C16">
        <v>0</v>
      </c>
      <c r="D16">
        <v>0</v>
      </c>
    </row>
    <row r="17" spans="1:4" x14ac:dyDescent="0.25">
      <c r="A17" t="s">
        <v>284</v>
      </c>
      <c r="B17" t="s">
        <v>269</v>
      </c>
      <c r="C17">
        <v>0</v>
      </c>
      <c r="D17">
        <v>0</v>
      </c>
    </row>
    <row r="18" spans="1:4" x14ac:dyDescent="0.25">
      <c r="A18" t="s">
        <v>285</v>
      </c>
      <c r="B18" t="s">
        <v>269</v>
      </c>
      <c r="C18">
        <v>0</v>
      </c>
      <c r="D18">
        <v>0</v>
      </c>
    </row>
    <row r="19" spans="1:4" x14ac:dyDescent="0.25">
      <c r="A19" t="s">
        <v>286</v>
      </c>
      <c r="B19" t="s">
        <v>269</v>
      </c>
      <c r="C19">
        <v>0</v>
      </c>
      <c r="D19">
        <v>0</v>
      </c>
    </row>
    <row r="20" spans="1:4" x14ac:dyDescent="0.25">
      <c r="A20" t="s">
        <v>287</v>
      </c>
      <c r="B20" t="s">
        <v>269</v>
      </c>
      <c r="C20">
        <v>0</v>
      </c>
      <c r="D20">
        <v>0</v>
      </c>
    </row>
    <row r="21" spans="1:4" x14ac:dyDescent="0.25">
      <c r="A21" t="s">
        <v>288</v>
      </c>
      <c r="B21" t="s">
        <v>269</v>
      </c>
      <c r="C21">
        <v>0</v>
      </c>
      <c r="D21">
        <v>0</v>
      </c>
    </row>
    <row r="22" spans="1:4" x14ac:dyDescent="0.25">
      <c r="A22" t="s">
        <v>289</v>
      </c>
      <c r="B22" t="s">
        <v>269</v>
      </c>
      <c r="C22">
        <v>0</v>
      </c>
      <c r="D22">
        <v>0</v>
      </c>
    </row>
    <row r="23" spans="1:4" x14ac:dyDescent="0.25">
      <c r="A23" t="s">
        <v>290</v>
      </c>
      <c r="B23" t="s">
        <v>269</v>
      </c>
      <c r="C23">
        <v>0</v>
      </c>
      <c r="D23">
        <v>0</v>
      </c>
    </row>
    <row r="24" spans="1:4" x14ac:dyDescent="0.25">
      <c r="A24" t="s">
        <v>291</v>
      </c>
      <c r="B24" t="s">
        <v>269</v>
      </c>
      <c r="C24">
        <v>0</v>
      </c>
      <c r="D24">
        <v>0</v>
      </c>
    </row>
    <row r="25" spans="1:4" x14ac:dyDescent="0.25">
      <c r="A25" t="s">
        <v>292</v>
      </c>
      <c r="B25" t="s">
        <v>269</v>
      </c>
      <c r="C25">
        <v>0</v>
      </c>
      <c r="D25">
        <v>0</v>
      </c>
    </row>
    <row r="26" spans="1:4" x14ac:dyDescent="0.25">
      <c r="A26" t="s">
        <v>293</v>
      </c>
      <c r="B26" t="s">
        <v>269</v>
      </c>
      <c r="C26">
        <v>0</v>
      </c>
      <c r="D26">
        <v>0</v>
      </c>
    </row>
    <row r="27" spans="1:4" x14ac:dyDescent="0.25">
      <c r="A27" t="s">
        <v>294</v>
      </c>
      <c r="B27" t="s">
        <v>269</v>
      </c>
      <c r="C27">
        <v>0</v>
      </c>
      <c r="D27">
        <v>0</v>
      </c>
    </row>
    <row r="28" spans="1:4" x14ac:dyDescent="0.25">
      <c r="A28" t="s">
        <v>295</v>
      </c>
      <c r="B28" t="s">
        <v>269</v>
      </c>
      <c r="C28">
        <v>0</v>
      </c>
      <c r="D28">
        <v>0</v>
      </c>
    </row>
    <row r="29" spans="1:4" x14ac:dyDescent="0.25">
      <c r="A29" t="s">
        <v>296</v>
      </c>
      <c r="B29" t="s">
        <v>269</v>
      </c>
      <c r="C29">
        <v>0</v>
      </c>
      <c r="D29">
        <v>0</v>
      </c>
    </row>
    <row r="30" spans="1:4" x14ac:dyDescent="0.25">
      <c r="A30" t="s">
        <v>297</v>
      </c>
      <c r="B30" t="s">
        <v>269</v>
      </c>
      <c r="C30">
        <v>0</v>
      </c>
      <c r="D30">
        <v>0</v>
      </c>
    </row>
    <row r="31" spans="1:4" x14ac:dyDescent="0.25">
      <c r="A31" t="s">
        <v>298</v>
      </c>
      <c r="B31" t="s">
        <v>269</v>
      </c>
      <c r="C31">
        <v>0</v>
      </c>
      <c r="D31">
        <v>0</v>
      </c>
    </row>
    <row r="32" spans="1:4" x14ac:dyDescent="0.25">
      <c r="A32" t="s">
        <v>299</v>
      </c>
      <c r="B32" t="s">
        <v>269</v>
      </c>
      <c r="C32">
        <v>0</v>
      </c>
      <c r="D32">
        <v>0</v>
      </c>
    </row>
    <row r="33" spans="1:4" x14ac:dyDescent="0.25">
      <c r="A33" t="s">
        <v>300</v>
      </c>
      <c r="B33" t="s">
        <v>269</v>
      </c>
      <c r="C33">
        <v>0</v>
      </c>
      <c r="D33">
        <v>0</v>
      </c>
    </row>
    <row r="34" spans="1:4" x14ac:dyDescent="0.25">
      <c r="A34" t="s">
        <v>301</v>
      </c>
      <c r="B34" t="s">
        <v>269</v>
      </c>
      <c r="C34">
        <v>0</v>
      </c>
      <c r="D34">
        <v>0</v>
      </c>
    </row>
    <row r="35" spans="1:4" x14ac:dyDescent="0.25">
      <c r="A35" t="s">
        <v>302</v>
      </c>
      <c r="B35" t="s">
        <v>269</v>
      </c>
      <c r="C35">
        <v>0</v>
      </c>
      <c r="D35">
        <v>0</v>
      </c>
    </row>
    <row r="36" spans="1:4" x14ac:dyDescent="0.25">
      <c r="A36" t="s">
        <v>303</v>
      </c>
      <c r="B36" t="s">
        <v>269</v>
      </c>
      <c r="C36">
        <v>0</v>
      </c>
      <c r="D36">
        <v>0</v>
      </c>
    </row>
    <row r="37" spans="1:4" x14ac:dyDescent="0.25">
      <c r="A37" t="s">
        <v>304</v>
      </c>
      <c r="B37" t="s">
        <v>269</v>
      </c>
      <c r="C37">
        <v>0</v>
      </c>
      <c r="D37">
        <v>0</v>
      </c>
    </row>
    <row r="38" spans="1:4" x14ac:dyDescent="0.25">
      <c r="A38" t="s">
        <v>305</v>
      </c>
      <c r="B38" t="s">
        <v>269</v>
      </c>
      <c r="C38">
        <v>0</v>
      </c>
      <c r="D38">
        <v>0</v>
      </c>
    </row>
    <row r="39" spans="1:4" x14ac:dyDescent="0.25">
      <c r="A39" t="s">
        <v>306</v>
      </c>
      <c r="B39" t="s">
        <v>269</v>
      </c>
      <c r="C39">
        <v>0</v>
      </c>
      <c r="D39">
        <v>0</v>
      </c>
    </row>
    <row r="40" spans="1:4" x14ac:dyDescent="0.25">
      <c r="A40" t="s">
        <v>307</v>
      </c>
      <c r="B40" t="s">
        <v>269</v>
      </c>
      <c r="C40">
        <v>0</v>
      </c>
      <c r="D40">
        <v>0</v>
      </c>
    </row>
    <row r="41" spans="1:4" x14ac:dyDescent="0.25">
      <c r="A41" t="s">
        <v>308</v>
      </c>
      <c r="B41" t="s">
        <v>269</v>
      </c>
      <c r="C41">
        <v>0</v>
      </c>
      <c r="D41">
        <v>0</v>
      </c>
    </row>
    <row r="42" spans="1:4" x14ac:dyDescent="0.25">
      <c r="A42" t="s">
        <v>309</v>
      </c>
      <c r="B42" t="s">
        <v>269</v>
      </c>
      <c r="C42">
        <v>0</v>
      </c>
      <c r="D42">
        <v>0</v>
      </c>
    </row>
    <row r="43" spans="1:4" x14ac:dyDescent="0.25">
      <c r="A43" t="s">
        <v>310</v>
      </c>
      <c r="B43" t="s">
        <v>269</v>
      </c>
      <c r="C43">
        <v>0</v>
      </c>
      <c r="D43">
        <v>0</v>
      </c>
    </row>
    <row r="44" spans="1:4" x14ac:dyDescent="0.25">
      <c r="A44" t="s">
        <v>311</v>
      </c>
      <c r="B44" t="s">
        <v>269</v>
      </c>
      <c r="C44">
        <v>0</v>
      </c>
      <c r="D44">
        <v>0</v>
      </c>
    </row>
    <row r="45" spans="1:4" x14ac:dyDescent="0.25">
      <c r="A45" t="s">
        <v>312</v>
      </c>
      <c r="B45" t="s">
        <v>269</v>
      </c>
      <c r="C45">
        <v>0</v>
      </c>
      <c r="D45">
        <v>0</v>
      </c>
    </row>
    <row r="46" spans="1:4" x14ac:dyDescent="0.25">
      <c r="A46" t="s">
        <v>313</v>
      </c>
      <c r="B46" t="s">
        <v>269</v>
      </c>
      <c r="C46">
        <v>0</v>
      </c>
      <c r="D46">
        <v>0</v>
      </c>
    </row>
    <row r="47" spans="1:4" x14ac:dyDescent="0.25">
      <c r="A47" t="s">
        <v>314</v>
      </c>
      <c r="B47" t="s">
        <v>269</v>
      </c>
      <c r="C47">
        <v>0</v>
      </c>
      <c r="D47">
        <v>0</v>
      </c>
    </row>
    <row r="48" spans="1:4" x14ac:dyDescent="0.25">
      <c r="A48" t="s">
        <v>315</v>
      </c>
      <c r="B48" t="s">
        <v>269</v>
      </c>
      <c r="C48">
        <v>0</v>
      </c>
      <c r="D48">
        <v>0</v>
      </c>
    </row>
    <row r="49" spans="1:4" x14ac:dyDescent="0.25">
      <c r="A49" t="s">
        <v>316</v>
      </c>
      <c r="B49" t="s">
        <v>269</v>
      </c>
      <c r="C49">
        <v>0</v>
      </c>
      <c r="D49">
        <v>0</v>
      </c>
    </row>
    <row r="50" spans="1:4" x14ac:dyDescent="0.25">
      <c r="A50" t="s">
        <v>317</v>
      </c>
      <c r="B50" t="s">
        <v>269</v>
      </c>
      <c r="C50">
        <v>0</v>
      </c>
      <c r="D50">
        <v>0</v>
      </c>
    </row>
    <row r="51" spans="1:4" x14ac:dyDescent="0.25">
      <c r="A51" t="s">
        <v>318</v>
      </c>
      <c r="B51" t="s">
        <v>269</v>
      </c>
      <c r="C51">
        <v>0</v>
      </c>
      <c r="D51">
        <v>0</v>
      </c>
    </row>
    <row r="52" spans="1:4" x14ac:dyDescent="0.25">
      <c r="A52" t="s">
        <v>319</v>
      </c>
      <c r="B52" t="s">
        <v>269</v>
      </c>
      <c r="C52">
        <v>0</v>
      </c>
      <c r="D52">
        <v>0</v>
      </c>
    </row>
    <row r="53" spans="1:4" x14ac:dyDescent="0.25">
      <c r="A53" t="s">
        <v>320</v>
      </c>
      <c r="B53" t="s">
        <v>269</v>
      </c>
      <c r="C53">
        <v>0</v>
      </c>
      <c r="D53">
        <v>0</v>
      </c>
    </row>
    <row r="54" spans="1:4" x14ac:dyDescent="0.25">
      <c r="A54" t="s">
        <v>321</v>
      </c>
      <c r="B54" t="s">
        <v>269</v>
      </c>
      <c r="C54">
        <v>0</v>
      </c>
      <c r="D54">
        <v>0</v>
      </c>
    </row>
    <row r="55" spans="1:4" x14ac:dyDescent="0.25">
      <c r="A55" t="s">
        <v>322</v>
      </c>
      <c r="B55" t="s">
        <v>269</v>
      </c>
      <c r="C55">
        <v>0</v>
      </c>
      <c r="D55">
        <v>0</v>
      </c>
    </row>
    <row r="56" spans="1:4" x14ac:dyDescent="0.25">
      <c r="A56" t="s">
        <v>323</v>
      </c>
      <c r="B56" t="s">
        <v>269</v>
      </c>
      <c r="C56">
        <v>0</v>
      </c>
      <c r="D56">
        <v>0</v>
      </c>
    </row>
    <row r="57" spans="1:4" x14ac:dyDescent="0.25">
      <c r="A57" t="s">
        <v>324</v>
      </c>
      <c r="B57" t="s">
        <v>269</v>
      </c>
      <c r="C57">
        <v>0</v>
      </c>
      <c r="D57">
        <v>0</v>
      </c>
    </row>
    <row r="58" spans="1:4" x14ac:dyDescent="0.25">
      <c r="A58" t="s">
        <v>325</v>
      </c>
      <c r="B58" t="s">
        <v>269</v>
      </c>
      <c r="C58">
        <v>0</v>
      </c>
      <c r="D58">
        <v>0</v>
      </c>
    </row>
    <row r="59" spans="1:4" x14ac:dyDescent="0.25">
      <c r="A59" t="s">
        <v>326</v>
      </c>
      <c r="B59" t="s">
        <v>269</v>
      </c>
      <c r="C59">
        <v>0</v>
      </c>
      <c r="D59">
        <v>0</v>
      </c>
    </row>
    <row r="60" spans="1:4" x14ac:dyDescent="0.25">
      <c r="A60" t="s">
        <v>327</v>
      </c>
      <c r="B60" t="s">
        <v>269</v>
      </c>
      <c r="C60">
        <v>0</v>
      </c>
      <c r="D60">
        <v>0</v>
      </c>
    </row>
    <row r="61" spans="1:4" x14ac:dyDescent="0.25">
      <c r="A61" t="s">
        <v>328</v>
      </c>
      <c r="B61" t="s">
        <v>269</v>
      </c>
      <c r="C61">
        <v>0</v>
      </c>
      <c r="D61">
        <v>0</v>
      </c>
    </row>
    <row r="62" spans="1:4" x14ac:dyDescent="0.25">
      <c r="A62" t="s">
        <v>329</v>
      </c>
      <c r="B62" t="s">
        <v>269</v>
      </c>
      <c r="C62">
        <v>0</v>
      </c>
      <c r="D62">
        <v>0</v>
      </c>
    </row>
    <row r="63" spans="1:4" x14ac:dyDescent="0.25">
      <c r="A63" t="s">
        <v>330</v>
      </c>
      <c r="B63" t="s">
        <v>269</v>
      </c>
      <c r="C63">
        <v>0</v>
      </c>
      <c r="D63">
        <v>0</v>
      </c>
    </row>
    <row r="64" spans="1:4" x14ac:dyDescent="0.25">
      <c r="A64" t="s">
        <v>331</v>
      </c>
      <c r="B64" t="s">
        <v>269</v>
      </c>
      <c r="C64">
        <v>0</v>
      </c>
      <c r="D64">
        <v>0</v>
      </c>
    </row>
    <row r="65" spans="1:4" x14ac:dyDescent="0.25">
      <c r="A65" t="s">
        <v>332</v>
      </c>
      <c r="B65" t="s">
        <v>269</v>
      </c>
      <c r="C65">
        <v>0</v>
      </c>
      <c r="D65">
        <v>0</v>
      </c>
    </row>
    <row r="66" spans="1:4" x14ac:dyDescent="0.25">
      <c r="A66" t="s">
        <v>333</v>
      </c>
      <c r="B66" t="s">
        <v>269</v>
      </c>
      <c r="C66">
        <v>0</v>
      </c>
      <c r="D66">
        <v>0</v>
      </c>
    </row>
    <row r="67" spans="1:4" x14ac:dyDescent="0.25">
      <c r="A67" t="s">
        <v>334</v>
      </c>
      <c r="B67" t="s">
        <v>269</v>
      </c>
      <c r="C67">
        <v>0</v>
      </c>
      <c r="D67">
        <v>0</v>
      </c>
    </row>
    <row r="68" spans="1:4" x14ac:dyDescent="0.25">
      <c r="A68" t="s">
        <v>335</v>
      </c>
      <c r="B68" t="s">
        <v>269</v>
      </c>
      <c r="C68">
        <v>0</v>
      </c>
      <c r="D68">
        <v>0</v>
      </c>
    </row>
    <row r="69" spans="1:4" x14ac:dyDescent="0.25">
      <c r="A69" t="s">
        <v>336</v>
      </c>
      <c r="B69" t="s">
        <v>269</v>
      </c>
      <c r="C69">
        <v>0</v>
      </c>
      <c r="D69">
        <v>0</v>
      </c>
    </row>
    <row r="70" spans="1:4" x14ac:dyDescent="0.25">
      <c r="A70" t="s">
        <v>337</v>
      </c>
      <c r="B70" t="s">
        <v>269</v>
      </c>
      <c r="C70">
        <v>0</v>
      </c>
      <c r="D70">
        <v>0</v>
      </c>
    </row>
    <row r="71" spans="1:4" x14ac:dyDescent="0.25">
      <c r="A71" t="s">
        <v>338</v>
      </c>
      <c r="B71" t="s">
        <v>269</v>
      </c>
      <c r="C71">
        <v>0</v>
      </c>
      <c r="D71">
        <v>0</v>
      </c>
    </row>
    <row r="72" spans="1:4" x14ac:dyDescent="0.25">
      <c r="A72" t="s">
        <v>339</v>
      </c>
      <c r="B72" t="s">
        <v>269</v>
      </c>
      <c r="C72">
        <v>0</v>
      </c>
      <c r="D72">
        <v>0</v>
      </c>
    </row>
    <row r="73" spans="1:4" x14ac:dyDescent="0.25">
      <c r="A73" t="s">
        <v>340</v>
      </c>
      <c r="B73" t="s">
        <v>269</v>
      </c>
      <c r="C73">
        <v>0</v>
      </c>
      <c r="D73">
        <v>0</v>
      </c>
    </row>
    <row r="74" spans="1:4" x14ac:dyDescent="0.25">
      <c r="A74" t="s">
        <v>341</v>
      </c>
      <c r="B74" t="s">
        <v>269</v>
      </c>
      <c r="C74">
        <v>0</v>
      </c>
      <c r="D74">
        <v>0</v>
      </c>
    </row>
    <row r="75" spans="1:4" x14ac:dyDescent="0.25">
      <c r="A75" t="s">
        <v>342</v>
      </c>
      <c r="B75" t="s">
        <v>269</v>
      </c>
      <c r="C75">
        <v>0</v>
      </c>
      <c r="D75">
        <v>0</v>
      </c>
    </row>
    <row r="76" spans="1:4" x14ac:dyDescent="0.25">
      <c r="A76" t="s">
        <v>343</v>
      </c>
      <c r="B76" t="s">
        <v>269</v>
      </c>
      <c r="C76">
        <v>0</v>
      </c>
      <c r="D76">
        <v>0</v>
      </c>
    </row>
    <row r="77" spans="1:4" x14ac:dyDescent="0.25">
      <c r="A77" t="s">
        <v>344</v>
      </c>
      <c r="B77" t="s">
        <v>269</v>
      </c>
      <c r="C77">
        <v>0</v>
      </c>
      <c r="D77">
        <v>0</v>
      </c>
    </row>
    <row r="78" spans="1:4" x14ac:dyDescent="0.25">
      <c r="A78" t="s">
        <v>345</v>
      </c>
      <c r="B78" t="s">
        <v>269</v>
      </c>
      <c r="C78">
        <v>0</v>
      </c>
      <c r="D78">
        <v>0</v>
      </c>
    </row>
    <row r="79" spans="1:4" x14ac:dyDescent="0.25">
      <c r="A79" t="s">
        <v>346</v>
      </c>
      <c r="B79" t="s">
        <v>269</v>
      </c>
      <c r="C79">
        <v>0</v>
      </c>
      <c r="D79">
        <v>0</v>
      </c>
    </row>
    <row r="80" spans="1:4" x14ac:dyDescent="0.25">
      <c r="A80" t="s">
        <v>347</v>
      </c>
      <c r="B80" t="s">
        <v>269</v>
      </c>
      <c r="C80">
        <v>0</v>
      </c>
      <c r="D80">
        <v>0</v>
      </c>
    </row>
    <row r="81" spans="1:4" x14ac:dyDescent="0.25">
      <c r="A81" t="s">
        <v>348</v>
      </c>
      <c r="B81" t="s">
        <v>269</v>
      </c>
      <c r="C81">
        <v>0</v>
      </c>
      <c r="D81">
        <v>0</v>
      </c>
    </row>
    <row r="82" spans="1:4" x14ac:dyDescent="0.25">
      <c r="A82" t="s">
        <v>349</v>
      </c>
      <c r="B82" t="s">
        <v>269</v>
      </c>
      <c r="C82">
        <v>0</v>
      </c>
      <c r="D82">
        <v>0</v>
      </c>
    </row>
    <row r="83" spans="1:4" x14ac:dyDescent="0.25">
      <c r="A83" t="s">
        <v>350</v>
      </c>
      <c r="B83" t="s">
        <v>269</v>
      </c>
      <c r="C83">
        <v>0</v>
      </c>
      <c r="D83">
        <v>0</v>
      </c>
    </row>
    <row r="84" spans="1:4" x14ac:dyDescent="0.25">
      <c r="A84" t="s">
        <v>351</v>
      </c>
      <c r="B84" t="s">
        <v>269</v>
      </c>
      <c r="C84">
        <v>0</v>
      </c>
      <c r="D84">
        <v>0</v>
      </c>
    </row>
    <row r="85" spans="1:4" x14ac:dyDescent="0.25">
      <c r="A85" t="s">
        <v>352</v>
      </c>
      <c r="B85" t="s">
        <v>269</v>
      </c>
      <c r="C85">
        <v>0</v>
      </c>
      <c r="D85">
        <v>0</v>
      </c>
    </row>
    <row r="86" spans="1:4" x14ac:dyDescent="0.25">
      <c r="A86" t="s">
        <v>353</v>
      </c>
      <c r="B86" t="s">
        <v>269</v>
      </c>
      <c r="C86">
        <v>0</v>
      </c>
      <c r="D86">
        <v>0</v>
      </c>
    </row>
    <row r="87" spans="1:4" x14ac:dyDescent="0.25">
      <c r="A87" t="s">
        <v>354</v>
      </c>
      <c r="B87" t="s">
        <v>269</v>
      </c>
      <c r="C87">
        <v>0</v>
      </c>
      <c r="D87">
        <v>0</v>
      </c>
    </row>
    <row r="88" spans="1:4" x14ac:dyDescent="0.25">
      <c r="A88" t="s">
        <v>355</v>
      </c>
      <c r="B88" t="s">
        <v>269</v>
      </c>
      <c r="C88">
        <v>0</v>
      </c>
      <c r="D88">
        <v>0</v>
      </c>
    </row>
    <row r="89" spans="1:4" x14ac:dyDescent="0.25">
      <c r="A89" t="s">
        <v>356</v>
      </c>
      <c r="B89" t="s">
        <v>269</v>
      </c>
      <c r="C89">
        <v>0</v>
      </c>
      <c r="D89">
        <v>0</v>
      </c>
    </row>
    <row r="90" spans="1:4" x14ac:dyDescent="0.25">
      <c r="A90" t="s">
        <v>357</v>
      </c>
      <c r="B90" t="s">
        <v>269</v>
      </c>
      <c r="C90">
        <v>0</v>
      </c>
      <c r="D90">
        <v>0</v>
      </c>
    </row>
    <row r="91" spans="1:4" x14ac:dyDescent="0.25">
      <c r="A91" t="s">
        <v>358</v>
      </c>
      <c r="B91" t="s">
        <v>269</v>
      </c>
      <c r="C91">
        <v>0</v>
      </c>
      <c r="D91">
        <v>0</v>
      </c>
    </row>
    <row r="92" spans="1:4" x14ac:dyDescent="0.25">
      <c r="A92" t="s">
        <v>359</v>
      </c>
      <c r="B92" t="s">
        <v>269</v>
      </c>
      <c r="C92">
        <v>0</v>
      </c>
      <c r="D92">
        <v>0</v>
      </c>
    </row>
    <row r="93" spans="1:4" x14ac:dyDescent="0.25">
      <c r="A93" t="s">
        <v>360</v>
      </c>
      <c r="B93" t="s">
        <v>269</v>
      </c>
      <c r="C93">
        <v>0</v>
      </c>
      <c r="D93">
        <v>0</v>
      </c>
    </row>
    <row r="94" spans="1:4" x14ac:dyDescent="0.25">
      <c r="A94" t="s">
        <v>361</v>
      </c>
      <c r="B94" t="s">
        <v>269</v>
      </c>
      <c r="C94">
        <v>0</v>
      </c>
      <c r="D94">
        <v>0</v>
      </c>
    </row>
    <row r="95" spans="1:4" x14ac:dyDescent="0.25">
      <c r="A95" t="s">
        <v>362</v>
      </c>
      <c r="B95" t="s">
        <v>269</v>
      </c>
      <c r="C95">
        <v>0</v>
      </c>
      <c r="D95">
        <v>0</v>
      </c>
    </row>
    <row r="96" spans="1:4" x14ac:dyDescent="0.25">
      <c r="A96" t="s">
        <v>363</v>
      </c>
      <c r="B96" t="s">
        <v>269</v>
      </c>
      <c r="C96">
        <v>0</v>
      </c>
      <c r="D96">
        <v>0</v>
      </c>
    </row>
    <row r="97" spans="1:4" x14ac:dyDescent="0.25">
      <c r="A97" t="s">
        <v>364</v>
      </c>
      <c r="B97" t="s">
        <v>269</v>
      </c>
      <c r="C97">
        <v>0</v>
      </c>
      <c r="D97">
        <v>0</v>
      </c>
    </row>
    <row r="98" spans="1:4" x14ac:dyDescent="0.25">
      <c r="A98" t="s">
        <v>365</v>
      </c>
      <c r="B98" t="s">
        <v>269</v>
      </c>
      <c r="C98">
        <v>0</v>
      </c>
      <c r="D98">
        <v>0</v>
      </c>
    </row>
    <row r="99" spans="1:4" x14ac:dyDescent="0.25">
      <c r="A99" t="s">
        <v>366</v>
      </c>
      <c r="B99" t="s">
        <v>269</v>
      </c>
      <c r="C99">
        <v>0</v>
      </c>
      <c r="D99">
        <v>0</v>
      </c>
    </row>
    <row r="100" spans="1:4" x14ac:dyDescent="0.25">
      <c r="A100" t="s">
        <v>367</v>
      </c>
      <c r="B100" t="s">
        <v>269</v>
      </c>
      <c r="C100">
        <v>0</v>
      </c>
      <c r="D100">
        <v>0</v>
      </c>
    </row>
    <row r="101" spans="1:4" x14ac:dyDescent="0.25">
      <c r="A101" t="s">
        <v>368</v>
      </c>
      <c r="B101" t="s">
        <v>269</v>
      </c>
      <c r="C101">
        <v>0</v>
      </c>
      <c r="D101">
        <v>0</v>
      </c>
    </row>
    <row r="102" spans="1:4" x14ac:dyDescent="0.25">
      <c r="A102" t="s">
        <v>369</v>
      </c>
      <c r="B102" t="s">
        <v>269</v>
      </c>
      <c r="C102">
        <v>0</v>
      </c>
      <c r="D102">
        <v>0</v>
      </c>
    </row>
    <row r="103" spans="1:4" x14ac:dyDescent="0.25">
      <c r="A103" t="s">
        <v>370</v>
      </c>
      <c r="B103" t="s">
        <v>269</v>
      </c>
      <c r="C103">
        <v>0</v>
      </c>
      <c r="D103">
        <v>0</v>
      </c>
    </row>
    <row r="104" spans="1:4" x14ac:dyDescent="0.25">
      <c r="A104" t="s">
        <v>371</v>
      </c>
      <c r="B104" t="s">
        <v>269</v>
      </c>
      <c r="C104">
        <v>0</v>
      </c>
      <c r="D104">
        <v>0</v>
      </c>
    </row>
    <row r="105" spans="1:4" x14ac:dyDescent="0.25">
      <c r="A105" t="s">
        <v>372</v>
      </c>
      <c r="B105" t="s">
        <v>269</v>
      </c>
      <c r="C105">
        <v>0</v>
      </c>
      <c r="D105">
        <v>0</v>
      </c>
    </row>
    <row r="106" spans="1:4" x14ac:dyDescent="0.25">
      <c r="A106" t="s">
        <v>373</v>
      </c>
      <c r="B106" t="s">
        <v>269</v>
      </c>
      <c r="C106">
        <v>0</v>
      </c>
      <c r="D106">
        <v>0</v>
      </c>
    </row>
    <row r="107" spans="1:4" x14ac:dyDescent="0.25">
      <c r="A107" t="s">
        <v>374</v>
      </c>
      <c r="B107" t="s">
        <v>269</v>
      </c>
      <c r="C107">
        <v>0</v>
      </c>
      <c r="D107">
        <v>0</v>
      </c>
    </row>
    <row r="108" spans="1:4" x14ac:dyDescent="0.25">
      <c r="A108" t="s">
        <v>375</v>
      </c>
      <c r="B108" t="s">
        <v>269</v>
      </c>
      <c r="C108">
        <v>0</v>
      </c>
      <c r="D108">
        <v>0</v>
      </c>
    </row>
    <row r="109" spans="1:4" x14ac:dyDescent="0.25">
      <c r="A109" t="s">
        <v>376</v>
      </c>
      <c r="B109" t="s">
        <v>269</v>
      </c>
      <c r="C109">
        <v>0</v>
      </c>
      <c r="D109">
        <v>0</v>
      </c>
    </row>
    <row r="110" spans="1:4" x14ac:dyDescent="0.25">
      <c r="A110" t="s">
        <v>377</v>
      </c>
      <c r="B110" t="s">
        <v>269</v>
      </c>
      <c r="C110">
        <v>0</v>
      </c>
      <c r="D110">
        <v>0</v>
      </c>
    </row>
    <row r="111" spans="1:4" x14ac:dyDescent="0.25">
      <c r="A111" t="s">
        <v>378</v>
      </c>
      <c r="B111" t="s">
        <v>269</v>
      </c>
      <c r="C111">
        <v>0</v>
      </c>
      <c r="D111">
        <v>0</v>
      </c>
    </row>
    <row r="112" spans="1:4" x14ac:dyDescent="0.25">
      <c r="A112" t="s">
        <v>379</v>
      </c>
      <c r="B112" t="s">
        <v>269</v>
      </c>
      <c r="C112">
        <v>0</v>
      </c>
      <c r="D112">
        <v>0</v>
      </c>
    </row>
    <row r="113" spans="1:4" x14ac:dyDescent="0.25">
      <c r="A113" t="s">
        <v>380</v>
      </c>
      <c r="B113" t="s">
        <v>269</v>
      </c>
      <c r="C113">
        <v>0</v>
      </c>
      <c r="D113">
        <v>0</v>
      </c>
    </row>
    <row r="114" spans="1:4" x14ac:dyDescent="0.25">
      <c r="A114" t="s">
        <v>381</v>
      </c>
      <c r="B114" t="s">
        <v>269</v>
      </c>
      <c r="C114">
        <v>0</v>
      </c>
      <c r="D114">
        <v>0</v>
      </c>
    </row>
    <row r="115" spans="1:4" x14ac:dyDescent="0.25">
      <c r="A115" t="s">
        <v>382</v>
      </c>
      <c r="B115" t="s">
        <v>269</v>
      </c>
      <c r="C115">
        <v>0</v>
      </c>
      <c r="D115">
        <v>0</v>
      </c>
    </row>
    <row r="116" spans="1:4" x14ac:dyDescent="0.25">
      <c r="A116" t="s">
        <v>383</v>
      </c>
      <c r="B116" t="s">
        <v>269</v>
      </c>
      <c r="C116">
        <v>0</v>
      </c>
      <c r="D116">
        <v>0</v>
      </c>
    </row>
    <row r="117" spans="1:4" x14ac:dyDescent="0.25">
      <c r="A117" t="s">
        <v>384</v>
      </c>
      <c r="B117" t="s">
        <v>269</v>
      </c>
      <c r="C117">
        <v>0</v>
      </c>
      <c r="D117">
        <v>0</v>
      </c>
    </row>
    <row r="118" spans="1:4" x14ac:dyDescent="0.25">
      <c r="A118" t="s">
        <v>385</v>
      </c>
      <c r="B118" t="s">
        <v>269</v>
      </c>
      <c r="C118">
        <v>0</v>
      </c>
      <c r="D118">
        <v>0</v>
      </c>
    </row>
    <row r="119" spans="1:4" x14ac:dyDescent="0.25">
      <c r="A119" t="s">
        <v>386</v>
      </c>
      <c r="B119" t="s">
        <v>269</v>
      </c>
      <c r="C119">
        <v>0</v>
      </c>
      <c r="D119">
        <v>0</v>
      </c>
    </row>
    <row r="120" spans="1:4" x14ac:dyDescent="0.25">
      <c r="A120" t="s">
        <v>387</v>
      </c>
      <c r="B120" t="s">
        <v>269</v>
      </c>
      <c r="C120">
        <v>0</v>
      </c>
      <c r="D120">
        <v>0</v>
      </c>
    </row>
    <row r="121" spans="1:4" x14ac:dyDescent="0.25">
      <c r="A121" t="s">
        <v>388</v>
      </c>
      <c r="B121" t="s">
        <v>269</v>
      </c>
      <c r="C121">
        <v>0</v>
      </c>
      <c r="D121">
        <v>0</v>
      </c>
    </row>
    <row r="122" spans="1:4" x14ac:dyDescent="0.25">
      <c r="A122" t="s">
        <v>389</v>
      </c>
      <c r="B122" t="s">
        <v>269</v>
      </c>
      <c r="C122">
        <v>0</v>
      </c>
      <c r="D122">
        <v>0</v>
      </c>
    </row>
    <row r="123" spans="1:4" x14ac:dyDescent="0.25">
      <c r="A123" t="s">
        <v>390</v>
      </c>
      <c r="B123" t="s">
        <v>269</v>
      </c>
      <c r="C123">
        <v>0</v>
      </c>
      <c r="D123">
        <v>0</v>
      </c>
    </row>
    <row r="124" spans="1:4" x14ac:dyDescent="0.25">
      <c r="A124" t="s">
        <v>391</v>
      </c>
      <c r="B124" t="s">
        <v>269</v>
      </c>
      <c r="C124">
        <v>0</v>
      </c>
      <c r="D12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/>
  </sheetViews>
  <sheetFormatPr defaultRowHeight="15" x14ac:dyDescent="0.25"/>
  <sheetData>
    <row r="1" spans="1:9" x14ac:dyDescent="0.25">
      <c r="A1" t="s">
        <v>392</v>
      </c>
      <c r="B1" t="s">
        <v>393</v>
      </c>
      <c r="C1" t="s">
        <v>394</v>
      </c>
      <c r="D1" t="s">
        <v>395</v>
      </c>
      <c r="E1" t="s">
        <v>396</v>
      </c>
      <c r="F1" t="s">
        <v>397</v>
      </c>
      <c r="G1" t="s">
        <v>98</v>
      </c>
      <c r="H1" t="s">
        <v>398</v>
      </c>
      <c r="I1" t="s">
        <v>399</v>
      </c>
    </row>
    <row r="2" spans="1:9" x14ac:dyDescent="0.25">
      <c r="A2" t="s">
        <v>400</v>
      </c>
      <c r="B2" t="s">
        <v>272</v>
      </c>
      <c r="C2" t="s">
        <v>401</v>
      </c>
      <c r="D2">
        <v>0</v>
      </c>
      <c r="E2">
        <v>0</v>
      </c>
      <c r="F2">
        <v>30</v>
      </c>
      <c r="G2">
        <v>35</v>
      </c>
      <c r="H2">
        <v>0</v>
      </c>
      <c r="I2">
        <v>0</v>
      </c>
    </row>
    <row r="3" spans="1:9" x14ac:dyDescent="0.25">
      <c r="A3" t="s">
        <v>400</v>
      </c>
      <c r="B3" t="s">
        <v>273</v>
      </c>
      <c r="C3" t="s">
        <v>402</v>
      </c>
      <c r="D3">
        <v>0</v>
      </c>
      <c r="E3">
        <v>0</v>
      </c>
      <c r="F3">
        <v>30</v>
      </c>
      <c r="G3">
        <v>35</v>
      </c>
      <c r="H3">
        <v>0</v>
      </c>
      <c r="I3">
        <v>0</v>
      </c>
    </row>
    <row r="4" spans="1:9" x14ac:dyDescent="0.25">
      <c r="A4" t="s">
        <v>400</v>
      </c>
      <c r="B4" t="s">
        <v>274</v>
      </c>
      <c r="C4" t="s">
        <v>403</v>
      </c>
      <c r="D4">
        <v>0</v>
      </c>
      <c r="E4">
        <v>0</v>
      </c>
      <c r="F4">
        <v>30</v>
      </c>
      <c r="G4">
        <v>35</v>
      </c>
      <c r="H4">
        <v>0</v>
      </c>
      <c r="I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18"/>
  <sheetViews>
    <sheetView tabSelected="1" workbookViewId="0">
      <selection activeCell="A2" sqref="A2:A118"/>
    </sheetView>
  </sheetViews>
  <sheetFormatPr defaultRowHeight="15" x14ac:dyDescent="0.25"/>
  <sheetData>
    <row r="1" spans="1:27" x14ac:dyDescent="0.25">
      <c r="A1" t="s">
        <v>392</v>
      </c>
      <c r="B1" t="s">
        <v>404</v>
      </c>
      <c r="C1" t="s">
        <v>405</v>
      </c>
      <c r="D1" t="s">
        <v>406</v>
      </c>
      <c r="E1" t="s">
        <v>407</v>
      </c>
      <c r="F1" t="s">
        <v>408</v>
      </c>
      <c r="G1" t="s">
        <v>409</v>
      </c>
      <c r="H1" t="s">
        <v>410</v>
      </c>
      <c r="J1" t="s">
        <v>392</v>
      </c>
      <c r="K1" t="s">
        <v>404</v>
      </c>
      <c r="L1" t="s">
        <v>406</v>
      </c>
      <c r="M1" t="s">
        <v>408</v>
      </c>
      <c r="X1" t="s">
        <v>392</v>
      </c>
      <c r="Y1" t="s">
        <v>404</v>
      </c>
      <c r="Z1" t="s">
        <v>406</v>
      </c>
      <c r="AA1" t="s">
        <v>408</v>
      </c>
    </row>
    <row r="2" spans="1:27" x14ac:dyDescent="0.25">
      <c r="A2">
        <v>0</v>
      </c>
      <c r="B2">
        <v>1.0500023411608901</v>
      </c>
      <c r="C2">
        <v>9.8521245201011406E-5</v>
      </c>
      <c r="D2">
        <v>1.050000321507953</v>
      </c>
      <c r="E2">
        <v>-120.00016214966671</v>
      </c>
      <c r="F2">
        <v>1.049997194286415</v>
      </c>
      <c r="G2">
        <v>120.0000636284215</v>
      </c>
      <c r="H2">
        <v>2.8518049684251158E-4</v>
      </c>
      <c r="J2">
        <v>1</v>
      </c>
      <c r="K2">
        <f>_xlfn.XLOOKUP($J2,$A:$A,B:B)</f>
        <v>1.0527052611207639</v>
      </c>
      <c r="L2">
        <f t="shared" ref="L2:L65" si="0">_xlfn.SINGLE(_xlfn.XLOOKUP($J2,$A:$A,D:D))</f>
        <v>1.0437936584499889</v>
      </c>
      <c r="M2">
        <f t="shared" ref="M2:M65" si="1">_xlfn.SINGLE(_xlfn.XLOOKUP($J2,$A:$A,F:F))</f>
        <v>1.0485087357164471</v>
      </c>
      <c r="X2">
        <v>1</v>
      </c>
      <c r="Y2">
        <f t="shared" ref="Y2:Y27" si="2">_xlfn.XLOOKUP($X2,$A:$A,B:B)</f>
        <v>1.0527052611207639</v>
      </c>
      <c r="Z2">
        <f t="shared" ref="Z2:Z27" si="3">_xlfn.XLOOKUP($X2,$A:$A,D:D)</f>
        <v>1.0437936584499889</v>
      </c>
      <c r="AA2">
        <f t="shared" ref="AA2:AA27" si="4">_xlfn.XLOOKUP($X2,$A:$A,F:F)</f>
        <v>1.0485087357164471</v>
      </c>
    </row>
    <row r="3" spans="1:27" x14ac:dyDescent="0.25">
      <c r="A3">
        <v>1</v>
      </c>
      <c r="B3">
        <v>1.0527052611207639</v>
      </c>
      <c r="C3">
        <v>-149.30373251028669</v>
      </c>
      <c r="D3">
        <v>1.0437936584499889</v>
      </c>
      <c r="E3">
        <v>90.766301831161073</v>
      </c>
      <c r="F3">
        <v>1.0485087357164471</v>
      </c>
      <c r="G3">
        <v>-28.807538125702681</v>
      </c>
      <c r="H3">
        <v>0.51557892789547755</v>
      </c>
      <c r="J3">
        <v>2</v>
      </c>
      <c r="K3">
        <f t="shared" ref="K3:K66" si="5">_xlfn.SINGLE(_xlfn.XLOOKUP($J3,$A:$A,B:B))</f>
        <v>1.0701952904283929</v>
      </c>
      <c r="L3">
        <f t="shared" si="0"/>
        <v>1.0557750938438959</v>
      </c>
      <c r="M3">
        <f t="shared" si="1"/>
        <v>1.0736679078308879</v>
      </c>
      <c r="X3">
        <v>2</v>
      </c>
      <c r="Y3">
        <f t="shared" si="2"/>
        <v>1.0701952904283929</v>
      </c>
      <c r="Z3">
        <f t="shared" si="3"/>
        <v>1.0557750938438959</v>
      </c>
      <c r="AA3">
        <f t="shared" si="4"/>
        <v>1.0736679078308879</v>
      </c>
    </row>
    <row r="4" spans="1:27" x14ac:dyDescent="0.25">
      <c r="A4">
        <v>10</v>
      </c>
      <c r="B4">
        <v>1.0700759499649359</v>
      </c>
      <c r="C4">
        <v>-148.92460043356951</v>
      </c>
      <c r="D4">
        <v>1.05552070840256</v>
      </c>
      <c r="E4">
        <v>91.783012486883706</v>
      </c>
      <c r="F4">
        <v>1.073526076519717</v>
      </c>
      <c r="G4">
        <v>-27.77514653922</v>
      </c>
      <c r="H4">
        <v>1.102499022949897</v>
      </c>
      <c r="J4">
        <v>3</v>
      </c>
      <c r="K4">
        <f t="shared" si="5"/>
        <v>1.0704636816537449</v>
      </c>
      <c r="L4">
        <f t="shared" si="0"/>
        <v>1.0559124361617489</v>
      </c>
      <c r="M4">
        <f t="shared" si="1"/>
        <v>1.0739238041065879</v>
      </c>
      <c r="X4">
        <v>4</v>
      </c>
      <c r="Y4">
        <f t="shared" si="2"/>
        <v>1.078062043679052</v>
      </c>
      <c r="Z4">
        <f t="shared" si="3"/>
        <v>1.0613339895541101</v>
      </c>
      <c r="AA4">
        <f t="shared" si="4"/>
        <v>1.085274040363932</v>
      </c>
    </row>
    <row r="5" spans="1:27" x14ac:dyDescent="0.25">
      <c r="A5">
        <v>100</v>
      </c>
      <c r="B5">
        <v>1.1354827939455661</v>
      </c>
      <c r="C5">
        <v>-147.70785168283939</v>
      </c>
      <c r="D5">
        <v>1.101046620953223</v>
      </c>
      <c r="E5">
        <v>95.801258628591924</v>
      </c>
      <c r="F5">
        <v>1.178880077599225</v>
      </c>
      <c r="G5">
        <v>-23.969321574752431</v>
      </c>
      <c r="H5">
        <v>4.079816434581633</v>
      </c>
      <c r="J5">
        <v>4</v>
      </c>
      <c r="K5">
        <f t="shared" si="5"/>
        <v>1.078062043679052</v>
      </c>
      <c r="L5">
        <f t="shared" si="0"/>
        <v>1.0613339895541101</v>
      </c>
      <c r="M5">
        <f t="shared" si="1"/>
        <v>1.085274040363932</v>
      </c>
      <c r="X5">
        <v>8</v>
      </c>
      <c r="Y5">
        <f t="shared" si="2"/>
        <v>1.0823556443435061</v>
      </c>
      <c r="Z5">
        <f t="shared" si="3"/>
        <v>1.0640814958225271</v>
      </c>
      <c r="AA5">
        <f t="shared" si="4"/>
        <v>1.0918344041425769</v>
      </c>
    </row>
    <row r="6" spans="1:27" x14ac:dyDescent="0.25">
      <c r="A6">
        <v>101</v>
      </c>
      <c r="B6">
        <v>1.134928357797329</v>
      </c>
      <c r="C6">
        <v>-147.70996085675409</v>
      </c>
      <c r="D6">
        <v>1.100673044020273</v>
      </c>
      <c r="E6">
        <v>95.810990823997301</v>
      </c>
      <c r="F6">
        <v>1.1784231204107309</v>
      </c>
      <c r="G6">
        <v>-23.97497937425949</v>
      </c>
      <c r="H6">
        <v>4.0808378439542876</v>
      </c>
      <c r="J6">
        <v>5</v>
      </c>
      <c r="K6">
        <f t="shared" si="5"/>
        <v>1.072347142654873</v>
      </c>
      <c r="L6">
        <f t="shared" si="0"/>
        <v>1.0573948831766491</v>
      </c>
      <c r="M6">
        <f t="shared" si="1"/>
        <v>1.0759316915553241</v>
      </c>
      <c r="X6">
        <v>14</v>
      </c>
      <c r="Y6">
        <f t="shared" si="2"/>
        <v>1.089596973104501</v>
      </c>
      <c r="Z6">
        <f t="shared" si="3"/>
        <v>1.0691027165599409</v>
      </c>
      <c r="AA6">
        <f t="shared" si="4"/>
        <v>1.1027693334838971</v>
      </c>
    </row>
    <row r="7" spans="1:27" x14ac:dyDescent="0.25">
      <c r="A7">
        <v>102</v>
      </c>
      <c r="B7">
        <v>1.1371669120904351</v>
      </c>
      <c r="C7">
        <v>-147.68203808027499</v>
      </c>
      <c r="D7">
        <v>1.1032253575098889</v>
      </c>
      <c r="E7">
        <v>95.764353048222986</v>
      </c>
      <c r="F7">
        <v>1.1789829302875701</v>
      </c>
      <c r="G7">
        <v>-24.012629855712269</v>
      </c>
      <c r="H7">
        <v>3.9869459334007731</v>
      </c>
      <c r="J7">
        <v>6</v>
      </c>
      <c r="K7">
        <f t="shared" si="5"/>
        <v>1.0783870669273019</v>
      </c>
      <c r="L7">
        <f t="shared" si="0"/>
        <v>1.061726906689757</v>
      </c>
      <c r="M7">
        <f t="shared" si="1"/>
        <v>1.0856497656052</v>
      </c>
      <c r="X7">
        <v>15</v>
      </c>
      <c r="Y7">
        <f t="shared" si="2"/>
        <v>1.096323615586773</v>
      </c>
      <c r="Z7">
        <f t="shared" si="3"/>
        <v>1.0740612021456859</v>
      </c>
      <c r="AA7">
        <f t="shared" si="4"/>
        <v>1.11229256375004</v>
      </c>
    </row>
    <row r="8" spans="1:27" x14ac:dyDescent="0.25">
      <c r="A8">
        <v>103</v>
      </c>
      <c r="B8">
        <v>1.1338959274883</v>
      </c>
      <c r="C8">
        <v>-147.76590481242889</v>
      </c>
      <c r="D8">
        <v>1.101100767359132</v>
      </c>
      <c r="E8">
        <v>95.348066215067732</v>
      </c>
      <c r="F8">
        <v>1.1710703282114361</v>
      </c>
      <c r="G8">
        <v>-24.33403774983864</v>
      </c>
      <c r="H8">
        <v>3.6840966534705499</v>
      </c>
      <c r="J8">
        <v>7</v>
      </c>
      <c r="K8">
        <f t="shared" si="5"/>
        <v>1.0799506702863859</v>
      </c>
      <c r="L8">
        <f t="shared" si="0"/>
        <v>1.0639163801435081</v>
      </c>
      <c r="M8">
        <f t="shared" si="1"/>
        <v>1.087592347701432</v>
      </c>
      <c r="X8">
        <v>28</v>
      </c>
      <c r="Y8">
        <f t="shared" si="2"/>
        <v>1.102717581880059</v>
      </c>
      <c r="Z8">
        <f t="shared" si="3"/>
        <v>1.078739017905352</v>
      </c>
      <c r="AA8">
        <f t="shared" si="4"/>
        <v>1.121445228509047</v>
      </c>
    </row>
    <row r="9" spans="1:27" x14ac:dyDescent="0.25">
      <c r="A9">
        <v>104</v>
      </c>
      <c r="B9">
        <v>1.1379842657554859</v>
      </c>
      <c r="C9">
        <v>-147.69848723639029</v>
      </c>
      <c r="D9">
        <v>1.1031791200844181</v>
      </c>
      <c r="E9">
        <v>95.79204455603842</v>
      </c>
      <c r="F9">
        <v>1.180340387397367</v>
      </c>
      <c r="G9">
        <v>-23.962474622870811</v>
      </c>
      <c r="H9">
        <v>4.0536870348308529</v>
      </c>
      <c r="J9">
        <v>8</v>
      </c>
      <c r="K9">
        <f t="shared" si="5"/>
        <v>1.0823556443435061</v>
      </c>
      <c r="L9">
        <f t="shared" si="0"/>
        <v>1.0640814958225271</v>
      </c>
      <c r="M9">
        <f t="shared" si="1"/>
        <v>1.0918344041425769</v>
      </c>
      <c r="X9">
        <v>32</v>
      </c>
      <c r="Y9">
        <f t="shared" si="2"/>
        <v>1.108594033795653</v>
      </c>
      <c r="Z9">
        <f t="shared" si="3"/>
        <v>1.0827242255784739</v>
      </c>
      <c r="AA9">
        <f t="shared" si="4"/>
        <v>1.129957100064841</v>
      </c>
    </row>
    <row r="10" spans="1:27" x14ac:dyDescent="0.25">
      <c r="A10">
        <v>105</v>
      </c>
      <c r="B10">
        <v>1.1333890002897069</v>
      </c>
      <c r="C10">
        <v>-147.7702218244653</v>
      </c>
      <c r="D10">
        <v>1.100498000524446</v>
      </c>
      <c r="E10">
        <v>95.343506073997091</v>
      </c>
      <c r="F10">
        <v>1.1706021008616661</v>
      </c>
      <c r="G10">
        <v>-24.336347869592519</v>
      </c>
      <c r="H10">
        <v>3.6889374384877049</v>
      </c>
      <c r="J10">
        <v>9</v>
      </c>
      <c r="K10">
        <f t="shared" si="5"/>
        <v>1.082078705894846</v>
      </c>
      <c r="L10">
        <f t="shared" si="0"/>
        <v>1.063642465375348</v>
      </c>
      <c r="M10">
        <f t="shared" si="1"/>
        <v>1.0915373151748879</v>
      </c>
      <c r="X10">
        <v>35</v>
      </c>
      <c r="Y10">
        <f t="shared" si="2"/>
        <v>1.1140054028994471</v>
      </c>
      <c r="Z10">
        <f t="shared" si="3"/>
        <v>1.0862631621584811</v>
      </c>
      <c r="AA10">
        <f t="shared" si="4"/>
        <v>1.138069222960207</v>
      </c>
    </row>
    <row r="11" spans="1:27" x14ac:dyDescent="0.25">
      <c r="A11">
        <v>106</v>
      </c>
      <c r="B11">
        <v>1.1332956476693521</v>
      </c>
      <c r="C11">
        <v>-147.77760787423901</v>
      </c>
      <c r="D11">
        <v>1.1001936462858071</v>
      </c>
      <c r="E11">
        <v>95.349382351205179</v>
      </c>
      <c r="F11">
        <v>1.1705316297119099</v>
      </c>
      <c r="G11">
        <v>-24.328594173953189</v>
      </c>
      <c r="H11">
        <v>3.703558613440578</v>
      </c>
      <c r="J11">
        <v>10</v>
      </c>
      <c r="K11">
        <f t="shared" si="5"/>
        <v>1.0700759499649359</v>
      </c>
      <c r="L11">
        <f t="shared" si="0"/>
        <v>1.05552070840256</v>
      </c>
      <c r="M11">
        <f t="shared" si="1"/>
        <v>1.073526076519717</v>
      </c>
      <c r="X11">
        <v>51</v>
      </c>
      <c r="Y11">
        <f t="shared" si="2"/>
        <v>1.1212747044772651</v>
      </c>
      <c r="Z11">
        <f t="shared" si="3"/>
        <v>1.091673068205294</v>
      </c>
      <c r="AA11">
        <f t="shared" si="4"/>
        <v>1.1492404894932939</v>
      </c>
    </row>
    <row r="12" spans="1:27" x14ac:dyDescent="0.25">
      <c r="A12">
        <v>107</v>
      </c>
      <c r="B12">
        <v>1.1340332003443609</v>
      </c>
      <c r="C12">
        <v>-147.7645353092044</v>
      </c>
      <c r="D12">
        <v>1.101172258862831</v>
      </c>
      <c r="E12">
        <v>95.353092532898089</v>
      </c>
      <c r="F12">
        <v>1.1711729035299741</v>
      </c>
      <c r="G12">
        <v>-24.32870565410208</v>
      </c>
      <c r="H12">
        <v>3.6870158200382899</v>
      </c>
      <c r="J12">
        <v>11</v>
      </c>
      <c r="K12">
        <f t="shared" si="5"/>
        <v>1.0819674745057211</v>
      </c>
      <c r="L12">
        <f t="shared" si="0"/>
        <v>1.0633169017999831</v>
      </c>
      <c r="M12">
        <f t="shared" si="1"/>
        <v>1.0914854920929919</v>
      </c>
      <c r="X12">
        <v>58</v>
      </c>
      <c r="Y12">
        <f t="shared" si="2"/>
        <v>1.1240175652334601</v>
      </c>
      <c r="Z12">
        <f t="shared" si="3"/>
        <v>1.093898288625222</v>
      </c>
      <c r="AA12">
        <f t="shared" si="4"/>
        <v>1.1540535844877751</v>
      </c>
    </row>
    <row r="13" spans="1:27" x14ac:dyDescent="0.25">
      <c r="A13">
        <v>108</v>
      </c>
      <c r="B13">
        <v>1.134764140729547</v>
      </c>
      <c r="C13">
        <v>-147.71058595830391</v>
      </c>
      <c r="D13">
        <v>1.100562401247636</v>
      </c>
      <c r="E13">
        <v>95.813874669540596</v>
      </c>
      <c r="F13">
        <v>1.178287777468864</v>
      </c>
      <c r="G13">
        <v>-23.976655986362751</v>
      </c>
      <c r="H13">
        <v>4.0811471825700334</v>
      </c>
      <c r="J13">
        <v>12</v>
      </c>
      <c r="K13">
        <f t="shared" si="5"/>
        <v>1.0816965236313081</v>
      </c>
      <c r="L13">
        <f t="shared" si="0"/>
        <v>1.063257635462429</v>
      </c>
      <c r="M13">
        <f t="shared" si="1"/>
        <v>1.0911406895568689</v>
      </c>
      <c r="X13">
        <v>68</v>
      </c>
      <c r="Y13">
        <f t="shared" si="2"/>
        <v>1.1265090267515201</v>
      </c>
      <c r="Z13">
        <f t="shared" si="3"/>
        <v>1.0958236836381039</v>
      </c>
      <c r="AA13">
        <f t="shared" si="4"/>
        <v>1.1588746258691629</v>
      </c>
    </row>
    <row r="14" spans="1:27" x14ac:dyDescent="0.25">
      <c r="A14">
        <v>109</v>
      </c>
      <c r="B14">
        <v>1.1359340080774669</v>
      </c>
      <c r="C14">
        <v>-147.7083667925238</v>
      </c>
      <c r="D14">
        <v>1.101245391953757</v>
      </c>
      <c r="E14">
        <v>95.792579749487302</v>
      </c>
      <c r="F14">
        <v>1.179467126275076</v>
      </c>
      <c r="G14">
        <v>-23.957860586625689</v>
      </c>
      <c r="H14">
        <v>4.0901181045660184</v>
      </c>
      <c r="J14">
        <v>13</v>
      </c>
      <c r="K14">
        <f t="shared" si="5"/>
        <v>1.0790530661127551</v>
      </c>
      <c r="L14">
        <f t="shared" si="0"/>
        <v>1.062405811027082</v>
      </c>
      <c r="M14">
        <f t="shared" si="1"/>
        <v>1.086295671659818</v>
      </c>
      <c r="X14">
        <v>71</v>
      </c>
      <c r="Y14">
        <f t="shared" si="2"/>
        <v>1.1284368005634939</v>
      </c>
      <c r="Z14">
        <f t="shared" si="3"/>
        <v>1.096969371309561</v>
      </c>
      <c r="AA14">
        <f t="shared" si="4"/>
        <v>1.1630026105695599</v>
      </c>
    </row>
    <row r="15" spans="1:27" x14ac:dyDescent="0.25">
      <c r="A15">
        <v>11</v>
      </c>
      <c r="B15">
        <v>1.0819674745057211</v>
      </c>
      <c r="C15">
        <v>-148.69776757575161</v>
      </c>
      <c r="D15">
        <v>1.0633169017999831</v>
      </c>
      <c r="E15">
        <v>92.482312748802613</v>
      </c>
      <c r="F15">
        <v>1.0914854920929919</v>
      </c>
      <c r="G15">
        <v>-27.07633548496387</v>
      </c>
      <c r="H15">
        <v>1.611824668479426</v>
      </c>
      <c r="J15">
        <v>14</v>
      </c>
      <c r="K15">
        <f t="shared" si="5"/>
        <v>1.089596973104501</v>
      </c>
      <c r="L15">
        <f t="shared" si="0"/>
        <v>1.0691027165599409</v>
      </c>
      <c r="M15">
        <f t="shared" si="1"/>
        <v>1.1027693334838971</v>
      </c>
      <c r="X15">
        <v>74</v>
      </c>
      <c r="Y15">
        <f t="shared" si="2"/>
        <v>1.130676353259245</v>
      </c>
      <c r="Z15">
        <f t="shared" si="3"/>
        <v>1.098443718511962</v>
      </c>
      <c r="AA15">
        <f t="shared" si="4"/>
        <v>1.1665857704324309</v>
      </c>
    </row>
    <row r="16" spans="1:27" x14ac:dyDescent="0.25">
      <c r="A16">
        <v>110</v>
      </c>
      <c r="B16">
        <v>1.134476860943936</v>
      </c>
      <c r="C16">
        <v>-147.70769167183849</v>
      </c>
      <c r="D16">
        <v>1.100546568345089</v>
      </c>
      <c r="E16">
        <v>95.823502347943716</v>
      </c>
      <c r="F16">
        <v>1.178135161476495</v>
      </c>
      <c r="G16">
        <v>-23.981793115484869</v>
      </c>
      <c r="H16">
        <v>4.0775029020740563</v>
      </c>
      <c r="J16">
        <v>15</v>
      </c>
      <c r="K16">
        <f t="shared" si="5"/>
        <v>1.096323615586773</v>
      </c>
      <c r="L16">
        <f t="shared" si="0"/>
        <v>1.0740612021456859</v>
      </c>
      <c r="M16">
        <f t="shared" si="1"/>
        <v>1.11229256375004</v>
      </c>
      <c r="X16">
        <v>79</v>
      </c>
      <c r="Y16">
        <f t="shared" si="2"/>
        <v>1.1329637674488471</v>
      </c>
      <c r="Z16">
        <f t="shared" si="3"/>
        <v>1.1002009652801199</v>
      </c>
      <c r="AA16">
        <f t="shared" si="4"/>
        <v>1.1702669860139649</v>
      </c>
    </row>
    <row r="17" spans="1:27" x14ac:dyDescent="0.25">
      <c r="A17">
        <v>111</v>
      </c>
      <c r="B17">
        <v>1.1379293474164709</v>
      </c>
      <c r="C17">
        <v>-147.6874681839524</v>
      </c>
      <c r="D17">
        <v>1.103685753509386</v>
      </c>
      <c r="E17">
        <v>95.703259832010914</v>
      </c>
      <c r="F17">
        <v>1.1787200249721641</v>
      </c>
      <c r="G17">
        <v>-24.038384177375619</v>
      </c>
      <c r="H17">
        <v>3.9466854297698681</v>
      </c>
      <c r="J17">
        <v>16</v>
      </c>
      <c r="K17">
        <f t="shared" si="5"/>
        <v>1.096469561810208</v>
      </c>
      <c r="L17">
        <f t="shared" si="0"/>
        <v>1.074199630278833</v>
      </c>
      <c r="M17">
        <f t="shared" si="1"/>
        <v>1.1124686090237501</v>
      </c>
      <c r="X17">
        <v>82</v>
      </c>
      <c r="Y17">
        <f t="shared" si="2"/>
        <v>1.134279243721724</v>
      </c>
      <c r="Z17">
        <f t="shared" si="3"/>
        <v>1.101202944659728</v>
      </c>
      <c r="AA17">
        <f t="shared" si="4"/>
        <v>1.1731675427767521</v>
      </c>
    </row>
    <row r="18" spans="1:27" x14ac:dyDescent="0.25">
      <c r="A18">
        <v>112</v>
      </c>
      <c r="B18">
        <v>1.138573822542255</v>
      </c>
      <c r="C18">
        <v>-147.6819093234547</v>
      </c>
      <c r="D18">
        <v>1.104358173843109</v>
      </c>
      <c r="E18">
        <v>95.712952372497938</v>
      </c>
      <c r="F18">
        <v>1.1792840502280679</v>
      </c>
      <c r="G18">
        <v>-24.03090973571835</v>
      </c>
      <c r="H18">
        <v>3.9446635556110961</v>
      </c>
      <c r="J18">
        <v>17</v>
      </c>
      <c r="K18">
        <f t="shared" si="5"/>
        <v>1.096412130679264</v>
      </c>
      <c r="L18">
        <f t="shared" si="0"/>
        <v>1.074131926954458</v>
      </c>
      <c r="M18">
        <f t="shared" si="1"/>
        <v>1.112454467104536</v>
      </c>
      <c r="X18">
        <v>85</v>
      </c>
      <c r="Y18">
        <f t="shared" si="2"/>
        <v>1.1353397203521689</v>
      </c>
      <c r="Z18">
        <f t="shared" si="3"/>
        <v>1.1017381013374179</v>
      </c>
      <c r="AA18">
        <f t="shared" si="4"/>
        <v>1.1748430564161549</v>
      </c>
    </row>
    <row r="19" spans="1:27" x14ac:dyDescent="0.25">
      <c r="A19">
        <v>113</v>
      </c>
      <c r="B19">
        <v>1.1358407237461341</v>
      </c>
      <c r="C19">
        <v>-147.71608754339749</v>
      </c>
      <c r="D19">
        <v>1.100947311933675</v>
      </c>
      <c r="E19">
        <v>95.79853538947259</v>
      </c>
      <c r="F19">
        <v>1.1804817004035271</v>
      </c>
      <c r="G19">
        <v>-23.94734312415865</v>
      </c>
      <c r="H19">
        <v>4.1320312133072088</v>
      </c>
      <c r="J19">
        <v>18</v>
      </c>
      <c r="K19">
        <f t="shared" si="5"/>
        <v>1.096591865129154</v>
      </c>
      <c r="L19">
        <f t="shared" si="0"/>
        <v>1.074223992320722</v>
      </c>
      <c r="M19">
        <f t="shared" si="1"/>
        <v>1.1126128268110169</v>
      </c>
      <c r="X19">
        <v>86</v>
      </c>
      <c r="Y19">
        <f t="shared" si="2"/>
        <v>1.136444883468432</v>
      </c>
      <c r="Z19">
        <f t="shared" si="3"/>
        <v>1.10255114401975</v>
      </c>
      <c r="AA19">
        <f t="shared" si="4"/>
        <v>1.1766141653998841</v>
      </c>
    </row>
    <row r="20" spans="1:27" x14ac:dyDescent="0.25">
      <c r="A20">
        <v>114</v>
      </c>
      <c r="B20">
        <v>1.134412081168114</v>
      </c>
      <c r="C20">
        <v>-147.70761317028411</v>
      </c>
      <c r="D20">
        <v>1.100210943741611</v>
      </c>
      <c r="E20">
        <v>95.820994695927425</v>
      </c>
      <c r="F20">
        <v>1.17788931368469</v>
      </c>
      <c r="G20">
        <v>-23.97136992295918</v>
      </c>
      <c r="H20">
        <v>4.0824825551847237</v>
      </c>
      <c r="J20">
        <v>19</v>
      </c>
      <c r="K20">
        <f t="shared" si="5"/>
        <v>1.0898219962783431</v>
      </c>
      <c r="L20">
        <f t="shared" si="0"/>
        <v>1.069151100879683</v>
      </c>
      <c r="M20">
        <f t="shared" si="1"/>
        <v>1.103399628873355</v>
      </c>
      <c r="X20">
        <v>89</v>
      </c>
      <c r="Y20">
        <f t="shared" si="2"/>
        <v>1.1375502130560879</v>
      </c>
      <c r="Z20">
        <f t="shared" si="3"/>
        <v>1.103366594579076</v>
      </c>
      <c r="AA20">
        <f t="shared" si="4"/>
        <v>1.1783869200168591</v>
      </c>
    </row>
    <row r="21" spans="1:27" x14ac:dyDescent="0.25">
      <c r="A21">
        <v>115</v>
      </c>
      <c r="B21">
        <v>1.138834279867343</v>
      </c>
      <c r="C21">
        <v>-147.69237225905849</v>
      </c>
      <c r="D21">
        <v>1.10440686846818</v>
      </c>
      <c r="E21">
        <v>95.711881399280486</v>
      </c>
      <c r="F21">
        <v>1.179607454205184</v>
      </c>
      <c r="G21">
        <v>-24.028514177281949</v>
      </c>
      <c r="H21">
        <v>3.9578352908116319</v>
      </c>
      <c r="J21">
        <v>20</v>
      </c>
      <c r="K21">
        <f t="shared" si="5"/>
        <v>1.0901790106260549</v>
      </c>
      <c r="L21">
        <f t="shared" si="0"/>
        <v>1.0693325664270521</v>
      </c>
      <c r="M21">
        <f t="shared" si="1"/>
        <v>1.1037933562140869</v>
      </c>
      <c r="X21">
        <v>90</v>
      </c>
      <c r="Y21">
        <f t="shared" si="2"/>
        <v>1.137375603382579</v>
      </c>
      <c r="Z21">
        <f t="shared" si="3"/>
        <v>1.1031062286849029</v>
      </c>
      <c r="AA21">
        <f t="shared" si="4"/>
        <v>1.1790361636966571</v>
      </c>
    </row>
    <row r="22" spans="1:27" x14ac:dyDescent="0.25">
      <c r="A22">
        <v>116</v>
      </c>
      <c r="B22">
        <v>1.135581423017697</v>
      </c>
      <c r="C22">
        <v>-147.70547700771669</v>
      </c>
      <c r="D22">
        <v>1.100895936068734</v>
      </c>
      <c r="E22">
        <v>95.799678905784148</v>
      </c>
      <c r="F22">
        <v>1.1790682491772171</v>
      </c>
      <c r="G22">
        <v>-23.952502576910678</v>
      </c>
      <c r="H22">
        <v>4.0914551639117924</v>
      </c>
      <c r="J22">
        <v>21</v>
      </c>
      <c r="K22">
        <f t="shared" si="5"/>
        <v>1.089440642756333</v>
      </c>
      <c r="L22">
        <f t="shared" si="0"/>
        <v>1.0687752727500071</v>
      </c>
      <c r="M22">
        <f t="shared" si="1"/>
        <v>1.104168073042554</v>
      </c>
      <c r="X22">
        <v>92</v>
      </c>
      <c r="Y22">
        <f t="shared" si="2"/>
        <v>1.1369402117427621</v>
      </c>
      <c r="Z22">
        <f t="shared" si="3"/>
        <v>1.1023841860188739</v>
      </c>
      <c r="AA22">
        <f t="shared" si="4"/>
        <v>1.1793549086749251</v>
      </c>
    </row>
    <row r="23" spans="1:27" x14ac:dyDescent="0.25">
      <c r="A23">
        <v>12</v>
      </c>
      <c r="B23">
        <v>1.0816965236313081</v>
      </c>
      <c r="C23">
        <v>-148.68599335382709</v>
      </c>
      <c r="D23">
        <v>1.063257635462429</v>
      </c>
      <c r="E23">
        <v>92.483290969774075</v>
      </c>
      <c r="F23">
        <v>1.0911406895568689</v>
      </c>
      <c r="G23">
        <v>-27.079154633314129</v>
      </c>
      <c r="H23">
        <v>1.596392779186983</v>
      </c>
      <c r="J23">
        <v>22</v>
      </c>
      <c r="K23">
        <f t="shared" si="5"/>
        <v>1.0903811550389191</v>
      </c>
      <c r="L23">
        <f t="shared" si="0"/>
        <v>1.0695345861961809</v>
      </c>
      <c r="M23">
        <f t="shared" si="1"/>
        <v>1.104058277068084</v>
      </c>
      <c r="X23">
        <v>99</v>
      </c>
      <c r="Y23">
        <f t="shared" si="2"/>
        <v>1.1360372333824189</v>
      </c>
      <c r="Z23">
        <f t="shared" si="3"/>
        <v>1.101420231330225</v>
      </c>
      <c r="AA23">
        <f t="shared" si="4"/>
        <v>1.1793370480924601</v>
      </c>
    </row>
    <row r="24" spans="1:27" x14ac:dyDescent="0.25">
      <c r="A24">
        <v>13</v>
      </c>
      <c r="B24">
        <v>1.0790530661127551</v>
      </c>
      <c r="C24">
        <v>-148.75456199769479</v>
      </c>
      <c r="D24">
        <v>1.062405811027082</v>
      </c>
      <c r="E24">
        <v>92.238135181904156</v>
      </c>
      <c r="F24">
        <v>1.086295671659818</v>
      </c>
      <c r="G24">
        <v>-27.334923909291149</v>
      </c>
      <c r="H24">
        <v>1.3917342185487951</v>
      </c>
      <c r="J24">
        <v>23</v>
      </c>
      <c r="K24">
        <f t="shared" si="5"/>
        <v>1.090333883524164</v>
      </c>
      <c r="L24">
        <f t="shared" si="0"/>
        <v>1.069312073236961</v>
      </c>
      <c r="M24">
        <f t="shared" si="1"/>
        <v>1.103922229553983</v>
      </c>
      <c r="X24">
        <v>100</v>
      </c>
      <c r="Y24">
        <f t="shared" si="2"/>
        <v>1.1354827939455661</v>
      </c>
      <c r="Z24">
        <f t="shared" si="3"/>
        <v>1.101046620953223</v>
      </c>
      <c r="AA24">
        <f t="shared" si="4"/>
        <v>1.178880077599225</v>
      </c>
    </row>
    <row r="25" spans="1:27" x14ac:dyDescent="0.25">
      <c r="A25">
        <v>14</v>
      </c>
      <c r="B25">
        <v>1.089596973104501</v>
      </c>
      <c r="C25">
        <v>-148.54496969118199</v>
      </c>
      <c r="D25">
        <v>1.0691027165599409</v>
      </c>
      <c r="E25">
        <v>92.884470783027268</v>
      </c>
      <c r="F25">
        <v>1.1027693334838971</v>
      </c>
      <c r="G25">
        <v>-26.685670585345239</v>
      </c>
      <c r="H25">
        <v>1.8813119691211551</v>
      </c>
      <c r="J25">
        <v>24</v>
      </c>
      <c r="K25">
        <f t="shared" si="5"/>
        <v>1.090284927289092</v>
      </c>
      <c r="L25">
        <f t="shared" si="0"/>
        <v>1.0690842135925711</v>
      </c>
      <c r="M25">
        <f t="shared" si="1"/>
        <v>1.1038589910762051</v>
      </c>
      <c r="X25">
        <v>101</v>
      </c>
      <c r="Y25">
        <f t="shared" si="2"/>
        <v>1.134928357797329</v>
      </c>
      <c r="Z25">
        <f t="shared" si="3"/>
        <v>1.100673044020273</v>
      </c>
      <c r="AA25">
        <f t="shared" si="4"/>
        <v>1.1784231204107309</v>
      </c>
    </row>
    <row r="26" spans="1:27" x14ac:dyDescent="0.25">
      <c r="A26">
        <v>15</v>
      </c>
      <c r="B26">
        <v>1.096323615586773</v>
      </c>
      <c r="C26">
        <v>-148.41112280785421</v>
      </c>
      <c r="D26">
        <v>1.0740612021456859</v>
      </c>
      <c r="E26">
        <v>93.252273939250387</v>
      </c>
      <c r="F26">
        <v>1.11229256375004</v>
      </c>
      <c r="G26">
        <v>-26.340367696152839</v>
      </c>
      <c r="H26">
        <v>2.1180868517492861</v>
      </c>
      <c r="J26">
        <v>25</v>
      </c>
      <c r="K26">
        <f t="shared" si="5"/>
        <v>1.0902718703498271</v>
      </c>
      <c r="L26">
        <f t="shared" si="0"/>
        <v>1.0692129714272041</v>
      </c>
      <c r="M26">
        <f t="shared" si="1"/>
        <v>1.104003866837642</v>
      </c>
      <c r="X26">
        <v>108</v>
      </c>
      <c r="Y26">
        <f t="shared" si="2"/>
        <v>1.134764140729547</v>
      </c>
      <c r="Z26">
        <f t="shared" si="3"/>
        <v>1.100562401247636</v>
      </c>
      <c r="AA26">
        <f t="shared" si="4"/>
        <v>1.178287777468864</v>
      </c>
    </row>
    <row r="27" spans="1:27" x14ac:dyDescent="0.25">
      <c r="A27">
        <v>16</v>
      </c>
      <c r="B27">
        <v>1.096469561810208</v>
      </c>
      <c r="C27">
        <v>-148.40350603982409</v>
      </c>
      <c r="D27">
        <v>1.074199630278833</v>
      </c>
      <c r="E27">
        <v>93.268080448896541</v>
      </c>
      <c r="F27">
        <v>1.1124686090237501</v>
      </c>
      <c r="G27">
        <v>-26.32959307128932</v>
      </c>
      <c r="H27">
        <v>2.121777492248337</v>
      </c>
      <c r="J27">
        <v>26</v>
      </c>
      <c r="K27">
        <f t="shared" si="5"/>
        <v>1.090993612354231</v>
      </c>
      <c r="L27">
        <f t="shared" si="0"/>
        <v>1.0699911977372201</v>
      </c>
      <c r="M27">
        <f t="shared" si="1"/>
        <v>1.1045515750039081</v>
      </c>
      <c r="X27">
        <v>114</v>
      </c>
      <c r="Y27">
        <f t="shared" si="2"/>
        <v>1.134412081168114</v>
      </c>
      <c r="Z27">
        <f t="shared" si="3"/>
        <v>1.100210943741611</v>
      </c>
      <c r="AA27">
        <f t="shared" si="4"/>
        <v>1.17788931368469</v>
      </c>
    </row>
    <row r="28" spans="1:27" x14ac:dyDescent="0.25">
      <c r="A28">
        <v>17</v>
      </c>
      <c r="B28">
        <v>1.096412130679264</v>
      </c>
      <c r="C28">
        <v>-148.40117373417471</v>
      </c>
      <c r="D28">
        <v>1.074131926954458</v>
      </c>
      <c r="E28">
        <v>93.277786589105162</v>
      </c>
      <c r="F28">
        <v>1.112454467104536</v>
      </c>
      <c r="G28">
        <v>-26.32421144398154</v>
      </c>
      <c r="H28">
        <v>2.1258375513060939</v>
      </c>
      <c r="J28">
        <v>27</v>
      </c>
      <c r="K28">
        <f t="shared" si="5"/>
        <v>1.09023598182562</v>
      </c>
      <c r="L28">
        <f t="shared" si="0"/>
        <v>1.068856354720424</v>
      </c>
      <c r="M28">
        <f t="shared" si="1"/>
        <v>1.1037957618022249</v>
      </c>
    </row>
    <row r="29" spans="1:27" x14ac:dyDescent="0.25">
      <c r="A29">
        <v>18</v>
      </c>
      <c r="B29">
        <v>1.096591865129154</v>
      </c>
      <c r="C29">
        <v>-148.39860804298871</v>
      </c>
      <c r="D29">
        <v>1.074223992320722</v>
      </c>
      <c r="E29">
        <v>93.284213221084258</v>
      </c>
      <c r="F29">
        <v>1.1126128268110169</v>
      </c>
      <c r="G29">
        <v>-26.31637950697883</v>
      </c>
      <c r="H29">
        <v>2.1304201505900791</v>
      </c>
      <c r="J29">
        <v>28</v>
      </c>
      <c r="K29">
        <f t="shared" si="5"/>
        <v>1.102717581880059</v>
      </c>
      <c r="L29">
        <f t="shared" si="0"/>
        <v>1.078739017905352</v>
      </c>
      <c r="M29">
        <f t="shared" si="1"/>
        <v>1.121445228509047</v>
      </c>
    </row>
    <row r="30" spans="1:27" x14ac:dyDescent="0.25">
      <c r="A30">
        <v>19</v>
      </c>
      <c r="B30">
        <v>1.0898219962783431</v>
      </c>
      <c r="C30">
        <v>-148.54266160483991</v>
      </c>
      <c r="D30">
        <v>1.069151100879683</v>
      </c>
      <c r="E30">
        <v>92.900506636042891</v>
      </c>
      <c r="F30">
        <v>1.103399628873355</v>
      </c>
      <c r="G30">
        <v>-26.66342078795412</v>
      </c>
      <c r="H30">
        <v>1.905862511050084</v>
      </c>
      <c r="J30">
        <v>29</v>
      </c>
      <c r="K30">
        <f t="shared" si="5"/>
        <v>1.090126733209279</v>
      </c>
      <c r="L30">
        <f t="shared" si="0"/>
        <v>1.0685343495004609</v>
      </c>
      <c r="M30">
        <f t="shared" si="1"/>
        <v>1.1037414689965011</v>
      </c>
    </row>
    <row r="31" spans="1:27" x14ac:dyDescent="0.25">
      <c r="A31">
        <v>2</v>
      </c>
      <c r="B31">
        <v>1.0701952904283929</v>
      </c>
      <c r="C31">
        <v>-148.93440703159101</v>
      </c>
      <c r="D31">
        <v>1.0557750938438959</v>
      </c>
      <c r="E31">
        <v>91.767237586614769</v>
      </c>
      <c r="F31">
        <v>1.0736679078308879</v>
      </c>
      <c r="G31">
        <v>-27.793546494581321</v>
      </c>
      <c r="H31">
        <v>1.0942391191384719</v>
      </c>
      <c r="J31">
        <v>30</v>
      </c>
      <c r="K31">
        <f t="shared" si="5"/>
        <v>1.090126733209279</v>
      </c>
      <c r="L31">
        <f t="shared" si="0"/>
        <v>1.0685343495004609</v>
      </c>
      <c r="M31">
        <f t="shared" si="1"/>
        <v>1.1037414689965011</v>
      </c>
    </row>
    <row r="32" spans="1:27" x14ac:dyDescent="0.25">
      <c r="A32">
        <v>20</v>
      </c>
      <c r="B32">
        <v>1.0901790106260549</v>
      </c>
      <c r="C32">
        <v>-148.54011651770711</v>
      </c>
      <c r="D32">
        <v>1.0693325664270521</v>
      </c>
      <c r="E32">
        <v>92.916177906221947</v>
      </c>
      <c r="F32">
        <v>1.1037933562140869</v>
      </c>
      <c r="G32">
        <v>-26.64749263897048</v>
      </c>
      <c r="H32">
        <v>1.919167599205658</v>
      </c>
      <c r="J32">
        <v>31</v>
      </c>
      <c r="K32">
        <f t="shared" si="5"/>
        <v>1.096174967783291</v>
      </c>
      <c r="L32">
        <f t="shared" si="0"/>
        <v>1.0739721828490449</v>
      </c>
      <c r="M32">
        <f t="shared" si="1"/>
        <v>1.112281982476635</v>
      </c>
    </row>
    <row r="33" spans="1:13" x14ac:dyDescent="0.25">
      <c r="A33">
        <v>21</v>
      </c>
      <c r="B33">
        <v>1.089440642756333</v>
      </c>
      <c r="C33">
        <v>-148.53816259175269</v>
      </c>
      <c r="D33">
        <v>1.0687752727500071</v>
      </c>
      <c r="E33">
        <v>92.906863667899856</v>
      </c>
      <c r="F33">
        <v>1.104168073042554</v>
      </c>
      <c r="G33">
        <v>-26.654551120264799</v>
      </c>
      <c r="H33">
        <v>1.9347575590635491</v>
      </c>
      <c r="J33">
        <v>32</v>
      </c>
      <c r="K33">
        <f t="shared" si="5"/>
        <v>1.108594033795653</v>
      </c>
      <c r="L33">
        <f t="shared" si="0"/>
        <v>1.0827242255784739</v>
      </c>
      <c r="M33">
        <f t="shared" si="1"/>
        <v>1.129957100064841</v>
      </c>
    </row>
    <row r="34" spans="1:13" x14ac:dyDescent="0.25">
      <c r="A34">
        <v>22</v>
      </c>
      <c r="B34">
        <v>1.0903811550389191</v>
      </c>
      <c r="C34">
        <v>-148.53740677094029</v>
      </c>
      <c r="D34">
        <v>1.0695345861961809</v>
      </c>
      <c r="E34">
        <v>92.925116067266103</v>
      </c>
      <c r="F34">
        <v>1.104058277068084</v>
      </c>
      <c r="G34">
        <v>-26.642111478887252</v>
      </c>
      <c r="H34">
        <v>1.922689419742067</v>
      </c>
      <c r="J34">
        <v>33</v>
      </c>
      <c r="K34">
        <f t="shared" si="5"/>
        <v>1.0911078257287281</v>
      </c>
      <c r="L34">
        <f t="shared" si="0"/>
        <v>1.070559313216757</v>
      </c>
      <c r="M34">
        <f t="shared" si="1"/>
        <v>1.1049487511459899</v>
      </c>
    </row>
    <row r="35" spans="1:13" x14ac:dyDescent="0.25">
      <c r="A35">
        <v>23</v>
      </c>
      <c r="B35">
        <v>1.090333883524164</v>
      </c>
      <c r="C35">
        <v>-148.5402824787208</v>
      </c>
      <c r="D35">
        <v>1.069312073236961</v>
      </c>
      <c r="E35">
        <v>92.922906807111872</v>
      </c>
      <c r="F35">
        <v>1.103922229553983</v>
      </c>
      <c r="G35">
        <v>-26.636953842861651</v>
      </c>
      <c r="H35">
        <v>1.9289515763133629</v>
      </c>
      <c r="J35">
        <v>34</v>
      </c>
      <c r="K35">
        <f t="shared" si="5"/>
        <v>1.0958671117235259</v>
      </c>
      <c r="L35">
        <f t="shared" si="0"/>
        <v>1.073938870412291</v>
      </c>
      <c r="M35">
        <f t="shared" si="1"/>
        <v>1.112147154636326</v>
      </c>
    </row>
    <row r="36" spans="1:13" x14ac:dyDescent="0.25">
      <c r="A36">
        <v>24</v>
      </c>
      <c r="B36">
        <v>1.090284927289092</v>
      </c>
      <c r="C36">
        <v>-148.54579886941801</v>
      </c>
      <c r="D36">
        <v>1.0690842135925711</v>
      </c>
      <c r="E36">
        <v>92.92351631505997</v>
      </c>
      <c r="F36">
        <v>1.1038589910762051</v>
      </c>
      <c r="G36">
        <v>-26.631917087336451</v>
      </c>
      <c r="H36">
        <v>1.9390819899154079</v>
      </c>
      <c r="J36">
        <v>35</v>
      </c>
      <c r="K36">
        <f t="shared" si="5"/>
        <v>1.1140054028994471</v>
      </c>
      <c r="L36">
        <f t="shared" si="0"/>
        <v>1.0862631621584811</v>
      </c>
      <c r="M36">
        <f t="shared" si="1"/>
        <v>1.138069222960207</v>
      </c>
    </row>
    <row r="37" spans="1:13" x14ac:dyDescent="0.25">
      <c r="A37">
        <v>25</v>
      </c>
      <c r="B37">
        <v>1.0902718703498271</v>
      </c>
      <c r="C37">
        <v>-148.54434955399719</v>
      </c>
      <c r="D37">
        <v>1.0692129714272041</v>
      </c>
      <c r="E37">
        <v>92.930543237508061</v>
      </c>
      <c r="F37">
        <v>1.104003866837642</v>
      </c>
      <c r="G37">
        <v>-26.633673164860351</v>
      </c>
      <c r="H37">
        <v>1.9384835906018409</v>
      </c>
      <c r="J37">
        <v>36</v>
      </c>
      <c r="K37">
        <f t="shared" si="5"/>
        <v>1.096771602445211</v>
      </c>
      <c r="L37">
        <f t="shared" si="0"/>
        <v>1.074316071854041</v>
      </c>
      <c r="M37">
        <f t="shared" si="1"/>
        <v>1.1127712079785019</v>
      </c>
    </row>
    <row r="38" spans="1:13" x14ac:dyDescent="0.25">
      <c r="A38">
        <v>26</v>
      </c>
      <c r="B38">
        <v>1.090993612354231</v>
      </c>
      <c r="C38">
        <v>-148.53296127351371</v>
      </c>
      <c r="D38">
        <v>1.0699911977372201</v>
      </c>
      <c r="E38">
        <v>92.932131266355441</v>
      </c>
      <c r="F38">
        <v>1.1045515750039081</v>
      </c>
      <c r="G38">
        <v>-26.628649135626191</v>
      </c>
      <c r="H38">
        <v>1.9278625966559451</v>
      </c>
      <c r="J38">
        <v>37</v>
      </c>
      <c r="K38">
        <f t="shared" si="5"/>
        <v>1.0971274882866571</v>
      </c>
      <c r="L38">
        <f t="shared" si="0"/>
        <v>1.074875458056024</v>
      </c>
      <c r="M38">
        <f t="shared" si="1"/>
        <v>1.1130914692595659</v>
      </c>
    </row>
    <row r="39" spans="1:13" x14ac:dyDescent="0.25">
      <c r="A39">
        <v>27</v>
      </c>
      <c r="B39">
        <v>1.09023598182562</v>
      </c>
      <c r="C39">
        <v>-148.5513157445148</v>
      </c>
      <c r="D39">
        <v>1.068856354720424</v>
      </c>
      <c r="E39">
        <v>92.92412609384499</v>
      </c>
      <c r="F39">
        <v>1.1037957618022249</v>
      </c>
      <c r="G39">
        <v>-26.626879743758479</v>
      </c>
      <c r="H39">
        <v>1.9492208321032409</v>
      </c>
      <c r="J39">
        <v>38</v>
      </c>
      <c r="K39">
        <f t="shared" si="5"/>
        <v>1.115696600590558</v>
      </c>
      <c r="L39">
        <f t="shared" si="0"/>
        <v>1.0869464280496699</v>
      </c>
      <c r="M39">
        <f t="shared" si="1"/>
        <v>1.1406332010768441</v>
      </c>
    </row>
    <row r="40" spans="1:13" x14ac:dyDescent="0.25">
      <c r="A40">
        <v>28</v>
      </c>
      <c r="B40">
        <v>1.102717581880059</v>
      </c>
      <c r="C40">
        <v>-148.2964023619067</v>
      </c>
      <c r="D40">
        <v>1.078739017905352</v>
      </c>
      <c r="E40">
        <v>93.580350805717742</v>
      </c>
      <c r="F40">
        <v>1.121445228509047</v>
      </c>
      <c r="G40">
        <v>-26.02556065231617</v>
      </c>
      <c r="H40">
        <v>2.3445164090540662</v>
      </c>
      <c r="J40">
        <v>39</v>
      </c>
      <c r="K40">
        <f t="shared" si="5"/>
        <v>1.095800334182752</v>
      </c>
      <c r="L40">
        <f t="shared" si="0"/>
        <v>1.073593968913132</v>
      </c>
      <c r="M40">
        <f t="shared" si="1"/>
        <v>1.1118873510692979</v>
      </c>
    </row>
    <row r="41" spans="1:13" x14ac:dyDescent="0.25">
      <c r="A41">
        <v>29</v>
      </c>
      <c r="B41">
        <v>1.090126733209279</v>
      </c>
      <c r="C41">
        <v>-148.55825612019231</v>
      </c>
      <c r="D41">
        <v>1.0685343495004609</v>
      </c>
      <c r="E41">
        <v>92.929559855985019</v>
      </c>
      <c r="F41">
        <v>1.1037414689965011</v>
      </c>
      <c r="G41">
        <v>-26.61844131765255</v>
      </c>
      <c r="H41">
        <v>1.9650437968336409</v>
      </c>
      <c r="J41">
        <v>40</v>
      </c>
      <c r="K41">
        <f t="shared" si="5"/>
        <v>1.097697298282061</v>
      </c>
      <c r="L41">
        <f t="shared" si="0"/>
        <v>1.075047952014492</v>
      </c>
      <c r="M41">
        <f t="shared" si="1"/>
        <v>1.113732742276305</v>
      </c>
    </row>
    <row r="42" spans="1:13" x14ac:dyDescent="0.25">
      <c r="A42">
        <v>3</v>
      </c>
      <c r="B42">
        <v>1.0704636816537449</v>
      </c>
      <c r="C42">
        <v>-148.92993280032579</v>
      </c>
      <c r="D42">
        <v>1.0559124361617489</v>
      </c>
      <c r="E42">
        <v>91.776750608470678</v>
      </c>
      <c r="F42">
        <v>1.0739238041065879</v>
      </c>
      <c r="G42">
        <v>-27.78093813382046</v>
      </c>
      <c r="H42">
        <v>1.102088901233131</v>
      </c>
      <c r="J42">
        <v>41</v>
      </c>
      <c r="K42">
        <f t="shared" si="5"/>
        <v>1.1177637883074329</v>
      </c>
      <c r="L42">
        <f t="shared" si="0"/>
        <v>1.088243227109575</v>
      </c>
      <c r="M42">
        <f t="shared" si="1"/>
        <v>1.142713349370597</v>
      </c>
    </row>
    <row r="43" spans="1:13" x14ac:dyDescent="0.25">
      <c r="A43">
        <v>30</v>
      </c>
      <c r="B43">
        <v>1.090126733209279</v>
      </c>
      <c r="C43">
        <v>-148.55825612019231</v>
      </c>
      <c r="D43">
        <v>1.0685343495004609</v>
      </c>
      <c r="E43">
        <v>92.929559855985019</v>
      </c>
      <c r="F43">
        <v>1.1037414689965011</v>
      </c>
      <c r="G43">
        <v>-26.61844131765255</v>
      </c>
      <c r="H43">
        <v>1.9650437968336409</v>
      </c>
      <c r="J43">
        <v>42</v>
      </c>
      <c r="K43">
        <f t="shared" si="5"/>
        <v>1.096397272685715</v>
      </c>
      <c r="L43">
        <f t="shared" si="0"/>
        <v>1.0739378459181259</v>
      </c>
      <c r="M43">
        <f t="shared" si="1"/>
        <v>1.1123767802485429</v>
      </c>
    </row>
    <row r="44" spans="1:13" x14ac:dyDescent="0.25">
      <c r="A44">
        <v>31</v>
      </c>
      <c r="B44">
        <v>1.096174967783291</v>
      </c>
      <c r="C44">
        <v>-148.40140745772769</v>
      </c>
      <c r="D44">
        <v>1.0739721828490449</v>
      </c>
      <c r="E44">
        <v>93.281066657026457</v>
      </c>
      <c r="F44">
        <v>1.112281982476635</v>
      </c>
      <c r="G44">
        <v>-26.326663169309139</v>
      </c>
      <c r="H44">
        <v>2.125323467853796</v>
      </c>
      <c r="J44">
        <v>43</v>
      </c>
      <c r="K44">
        <f t="shared" si="5"/>
        <v>1.1198851091806821</v>
      </c>
      <c r="L44">
        <f t="shared" si="0"/>
        <v>1.089827594832588</v>
      </c>
      <c r="M44">
        <f t="shared" si="1"/>
        <v>1.144878157894351</v>
      </c>
    </row>
    <row r="45" spans="1:13" x14ac:dyDescent="0.25">
      <c r="A45">
        <v>32</v>
      </c>
      <c r="B45">
        <v>1.108594033795653</v>
      </c>
      <c r="C45">
        <v>-148.19524014524359</v>
      </c>
      <c r="D45">
        <v>1.0827242255784739</v>
      </c>
      <c r="E45">
        <v>93.886093223682082</v>
      </c>
      <c r="F45">
        <v>1.129957100064841</v>
      </c>
      <c r="G45">
        <v>-25.721966163676999</v>
      </c>
      <c r="H45">
        <v>2.571951966037719</v>
      </c>
      <c r="J45">
        <v>44</v>
      </c>
      <c r="K45">
        <f t="shared" si="5"/>
        <v>1.1155482259205269</v>
      </c>
      <c r="L45">
        <f t="shared" si="0"/>
        <v>1.0867053381428531</v>
      </c>
      <c r="M45">
        <f t="shared" si="1"/>
        <v>1.1408254166893139</v>
      </c>
    </row>
    <row r="46" spans="1:13" x14ac:dyDescent="0.25">
      <c r="A46">
        <v>33</v>
      </c>
      <c r="B46">
        <v>1.0911078257287281</v>
      </c>
      <c r="C46">
        <v>-148.53063985371409</v>
      </c>
      <c r="D46">
        <v>1.070559313216757</v>
      </c>
      <c r="E46">
        <v>92.937191071286733</v>
      </c>
      <c r="F46">
        <v>1.1049487511459899</v>
      </c>
      <c r="G46">
        <v>-26.645403353426872</v>
      </c>
      <c r="H46">
        <v>1.91448991712114</v>
      </c>
      <c r="J46">
        <v>45</v>
      </c>
      <c r="K46">
        <f t="shared" si="5"/>
        <v>1.1177425819588149</v>
      </c>
      <c r="L46">
        <f t="shared" si="0"/>
        <v>1.0881308211260301</v>
      </c>
      <c r="M46">
        <f t="shared" si="1"/>
        <v>1.1426807210985039</v>
      </c>
    </row>
    <row r="47" spans="1:13" x14ac:dyDescent="0.25">
      <c r="A47">
        <v>34</v>
      </c>
      <c r="B47">
        <v>1.0958671117235259</v>
      </c>
      <c r="C47">
        <v>-148.3973649510277</v>
      </c>
      <c r="D47">
        <v>1.073938870412291</v>
      </c>
      <c r="E47">
        <v>93.290350680500183</v>
      </c>
      <c r="F47">
        <v>1.112147154636326</v>
      </c>
      <c r="G47">
        <v>-26.332585101001321</v>
      </c>
      <c r="H47">
        <v>2.119413503290025</v>
      </c>
      <c r="J47">
        <v>46</v>
      </c>
      <c r="K47">
        <f t="shared" si="5"/>
        <v>1.1088973505615409</v>
      </c>
      <c r="L47">
        <f t="shared" si="0"/>
        <v>1.083032326363375</v>
      </c>
      <c r="M47">
        <f t="shared" si="1"/>
        <v>1.130235574126101</v>
      </c>
    </row>
    <row r="48" spans="1:13" x14ac:dyDescent="0.25">
      <c r="A48">
        <v>35</v>
      </c>
      <c r="B48">
        <v>1.1140054028994471</v>
      </c>
      <c r="C48">
        <v>-148.10685117104541</v>
      </c>
      <c r="D48">
        <v>1.0862631621584811</v>
      </c>
      <c r="E48">
        <v>94.17568936793721</v>
      </c>
      <c r="F48">
        <v>1.138069222960207</v>
      </c>
      <c r="G48">
        <v>-25.434824734479228</v>
      </c>
      <c r="H48">
        <v>2.7982123826893268</v>
      </c>
      <c r="J48">
        <v>47</v>
      </c>
      <c r="K48">
        <f t="shared" si="5"/>
        <v>1.1154466192201</v>
      </c>
      <c r="L48">
        <f t="shared" si="0"/>
        <v>1.0863915822977259</v>
      </c>
      <c r="M48">
        <f t="shared" si="1"/>
        <v>1.1407650124483879</v>
      </c>
    </row>
    <row r="49" spans="1:13" x14ac:dyDescent="0.25">
      <c r="A49">
        <v>36</v>
      </c>
      <c r="B49">
        <v>1.096771602445211</v>
      </c>
      <c r="C49">
        <v>-148.3960431817568</v>
      </c>
      <c r="D49">
        <v>1.074316071854041</v>
      </c>
      <c r="E49">
        <v>93.290638762459324</v>
      </c>
      <c r="F49">
        <v>1.1127712079785019</v>
      </c>
      <c r="G49">
        <v>-26.308549788307801</v>
      </c>
      <c r="H49">
        <v>2.1350033059948141</v>
      </c>
      <c r="J49">
        <v>48</v>
      </c>
      <c r="K49">
        <f t="shared" si="5"/>
        <v>1.1178726770867959</v>
      </c>
      <c r="L49">
        <f t="shared" si="0"/>
        <v>1.0891992417715559</v>
      </c>
      <c r="M49">
        <f t="shared" si="1"/>
        <v>1.143859348852851</v>
      </c>
    </row>
    <row r="50" spans="1:13" x14ac:dyDescent="0.25">
      <c r="A50">
        <v>37</v>
      </c>
      <c r="B50">
        <v>1.0971274882866571</v>
      </c>
      <c r="C50">
        <v>-148.39631339284929</v>
      </c>
      <c r="D50">
        <v>1.074875458056024</v>
      </c>
      <c r="E50">
        <v>93.277330613027019</v>
      </c>
      <c r="F50">
        <v>1.1130914692595659</v>
      </c>
      <c r="G50">
        <v>-26.321471313336431</v>
      </c>
      <c r="H50">
        <v>2.120602730264701</v>
      </c>
      <c r="J50">
        <v>49</v>
      </c>
      <c r="K50">
        <f t="shared" si="5"/>
        <v>1.1030779663144279</v>
      </c>
      <c r="L50">
        <f t="shared" si="0"/>
        <v>1.079240538907287</v>
      </c>
      <c r="M50">
        <f t="shared" si="1"/>
        <v>1.1219106558950309</v>
      </c>
    </row>
    <row r="51" spans="1:13" x14ac:dyDescent="0.25">
      <c r="A51">
        <v>38</v>
      </c>
      <c r="B51">
        <v>1.115696600590558</v>
      </c>
      <c r="C51">
        <v>-148.0825924107483</v>
      </c>
      <c r="D51">
        <v>1.0869464280496699</v>
      </c>
      <c r="E51">
        <v>94.272905445926412</v>
      </c>
      <c r="F51">
        <v>1.1406332010768441</v>
      </c>
      <c r="G51">
        <v>-25.334044215844401</v>
      </c>
      <c r="H51">
        <v>2.8885299800538369</v>
      </c>
      <c r="J51">
        <v>50</v>
      </c>
      <c r="K51">
        <f t="shared" si="5"/>
        <v>1.1151796935345311</v>
      </c>
      <c r="L51">
        <f t="shared" si="0"/>
        <v>1.086341601601416</v>
      </c>
      <c r="M51">
        <f t="shared" si="1"/>
        <v>1.141559032408324</v>
      </c>
    </row>
    <row r="52" spans="1:13" x14ac:dyDescent="0.25">
      <c r="A52">
        <v>39</v>
      </c>
      <c r="B52">
        <v>1.095800334182752</v>
      </c>
      <c r="C52">
        <v>-148.39686327437769</v>
      </c>
      <c r="D52">
        <v>1.073593968913132</v>
      </c>
      <c r="E52">
        <v>93.287541242447688</v>
      </c>
      <c r="F52">
        <v>1.1118873510692979</v>
      </c>
      <c r="G52">
        <v>-26.321129652769539</v>
      </c>
      <c r="H52">
        <v>2.1260774495154289</v>
      </c>
      <c r="J52">
        <v>51</v>
      </c>
      <c r="K52">
        <f t="shared" si="5"/>
        <v>1.1212747044772651</v>
      </c>
      <c r="L52">
        <f t="shared" si="0"/>
        <v>1.091673068205294</v>
      </c>
      <c r="M52">
        <f t="shared" si="1"/>
        <v>1.1492404894932939</v>
      </c>
    </row>
    <row r="53" spans="1:13" x14ac:dyDescent="0.25">
      <c r="A53">
        <v>4</v>
      </c>
      <c r="B53">
        <v>1.078062043679052</v>
      </c>
      <c r="C53">
        <v>-148.77081741089279</v>
      </c>
      <c r="D53">
        <v>1.0613339895541101</v>
      </c>
      <c r="E53">
        <v>92.217861782371259</v>
      </c>
      <c r="F53">
        <v>1.085274040363932</v>
      </c>
      <c r="G53">
        <v>-27.349818041712741</v>
      </c>
      <c r="H53">
        <v>1.3940993725531301</v>
      </c>
      <c r="J53">
        <v>52</v>
      </c>
      <c r="K53">
        <f t="shared" si="5"/>
        <v>1.1198641549175019</v>
      </c>
      <c r="L53">
        <f t="shared" si="0"/>
        <v>1.089714687219792</v>
      </c>
      <c r="M53">
        <f t="shared" si="1"/>
        <v>1.144846017610087</v>
      </c>
    </row>
    <row r="54" spans="1:13" x14ac:dyDescent="0.25">
      <c r="A54">
        <v>40</v>
      </c>
      <c r="B54">
        <v>1.097697298282061</v>
      </c>
      <c r="C54">
        <v>-148.40024708710669</v>
      </c>
      <c r="D54">
        <v>1.075047952014492</v>
      </c>
      <c r="E54">
        <v>93.298895157744695</v>
      </c>
      <c r="F54">
        <v>1.113732742276305</v>
      </c>
      <c r="G54">
        <v>-26.297748017294069</v>
      </c>
      <c r="H54">
        <v>2.1486531873386059</v>
      </c>
      <c r="J54">
        <v>53</v>
      </c>
      <c r="K54">
        <f t="shared" si="5"/>
        <v>1.1220601000555921</v>
      </c>
      <c r="L54">
        <f t="shared" si="0"/>
        <v>1.0917007266210359</v>
      </c>
      <c r="M54">
        <f t="shared" si="1"/>
        <v>1.147126082150415</v>
      </c>
    </row>
    <row r="55" spans="1:13" x14ac:dyDescent="0.25">
      <c r="A55">
        <v>41</v>
      </c>
      <c r="B55">
        <v>1.1177637883074329</v>
      </c>
      <c r="C55">
        <v>-148.05054661001981</v>
      </c>
      <c r="D55">
        <v>1.088243227109575</v>
      </c>
      <c r="E55">
        <v>94.367641627873709</v>
      </c>
      <c r="F55">
        <v>1.142713349370597</v>
      </c>
      <c r="G55">
        <v>-25.254547359070251</v>
      </c>
      <c r="H55">
        <v>2.9388870919340002</v>
      </c>
      <c r="J55">
        <v>54</v>
      </c>
      <c r="K55">
        <f t="shared" si="5"/>
        <v>1.1180237950959671</v>
      </c>
      <c r="L55">
        <f t="shared" si="0"/>
        <v>1.089352948619918</v>
      </c>
      <c r="M55">
        <f t="shared" si="1"/>
        <v>1.1439957100505</v>
      </c>
    </row>
    <row r="56" spans="1:13" x14ac:dyDescent="0.25">
      <c r="A56">
        <v>42</v>
      </c>
      <c r="B56">
        <v>1.096397272685715</v>
      </c>
      <c r="C56">
        <v>-148.39149951632919</v>
      </c>
      <c r="D56">
        <v>1.0739378459181259</v>
      </c>
      <c r="E56">
        <v>93.297112100060446</v>
      </c>
      <c r="F56">
        <v>1.1123767802485429</v>
      </c>
      <c r="G56">
        <v>-26.303028128581079</v>
      </c>
      <c r="H56">
        <v>2.135760263672565</v>
      </c>
      <c r="J56">
        <v>55</v>
      </c>
      <c r="K56">
        <f t="shared" si="5"/>
        <v>1.123463487134333</v>
      </c>
      <c r="L56">
        <f t="shared" si="0"/>
        <v>1.0930157319288609</v>
      </c>
      <c r="M56">
        <f t="shared" si="1"/>
        <v>1.1486489236835999</v>
      </c>
    </row>
    <row r="57" spans="1:13" x14ac:dyDescent="0.25">
      <c r="A57">
        <v>43</v>
      </c>
      <c r="B57">
        <v>1.1198851091806821</v>
      </c>
      <c r="C57">
        <v>-148.01182171027361</v>
      </c>
      <c r="D57">
        <v>1.089827594832588</v>
      </c>
      <c r="E57">
        <v>94.461117349978139</v>
      </c>
      <c r="F57">
        <v>1.144878157894351</v>
      </c>
      <c r="G57">
        <v>-25.181206486009881</v>
      </c>
      <c r="H57">
        <v>2.977126195893653</v>
      </c>
      <c r="J57">
        <v>56</v>
      </c>
      <c r="K57">
        <f t="shared" si="5"/>
        <v>1.1232359683074551</v>
      </c>
      <c r="L57">
        <f t="shared" si="0"/>
        <v>1.0928568331827591</v>
      </c>
      <c r="M57">
        <f t="shared" si="1"/>
        <v>1.148479851563363</v>
      </c>
    </row>
    <row r="58" spans="1:13" x14ac:dyDescent="0.25">
      <c r="A58">
        <v>44</v>
      </c>
      <c r="B58">
        <v>1.1155482259205269</v>
      </c>
      <c r="C58">
        <v>-148.08570603133609</v>
      </c>
      <c r="D58">
        <v>1.0867053381428531</v>
      </c>
      <c r="E58">
        <v>94.273816244509973</v>
      </c>
      <c r="F58">
        <v>1.1408254166893139</v>
      </c>
      <c r="G58">
        <v>-25.325787010503301</v>
      </c>
      <c r="H58">
        <v>2.9042265854632139</v>
      </c>
      <c r="J58">
        <v>57</v>
      </c>
      <c r="K58">
        <f t="shared" si="5"/>
        <v>1.1228760965178659</v>
      </c>
      <c r="L58">
        <f t="shared" si="0"/>
        <v>1.0924838129177521</v>
      </c>
      <c r="M58">
        <f t="shared" si="1"/>
        <v>1.148093337816495</v>
      </c>
    </row>
    <row r="59" spans="1:13" x14ac:dyDescent="0.25">
      <c r="A59">
        <v>45</v>
      </c>
      <c r="B59">
        <v>1.1177425819588149</v>
      </c>
      <c r="C59">
        <v>-148.05323677916741</v>
      </c>
      <c r="D59">
        <v>1.0881308211260301</v>
      </c>
      <c r="E59">
        <v>94.368041130638119</v>
      </c>
      <c r="F59">
        <v>1.1426807210985039</v>
      </c>
      <c r="G59">
        <v>-25.252228191147001</v>
      </c>
      <c r="H59">
        <v>2.9436145165392409</v>
      </c>
      <c r="J59">
        <v>58</v>
      </c>
      <c r="K59">
        <f t="shared" si="5"/>
        <v>1.1240175652334601</v>
      </c>
      <c r="L59">
        <f t="shared" si="0"/>
        <v>1.093898288625222</v>
      </c>
      <c r="M59">
        <f t="shared" si="1"/>
        <v>1.1540535844877751</v>
      </c>
    </row>
    <row r="60" spans="1:13" x14ac:dyDescent="0.25">
      <c r="A60">
        <v>46</v>
      </c>
      <c r="B60">
        <v>1.1088973505615409</v>
      </c>
      <c r="C60">
        <v>-148.18759325937489</v>
      </c>
      <c r="D60">
        <v>1.083032326363375</v>
      </c>
      <c r="E60">
        <v>93.895209478250209</v>
      </c>
      <c r="F60">
        <v>1.130235574126101</v>
      </c>
      <c r="G60">
        <v>-25.71412542536175</v>
      </c>
      <c r="H60">
        <v>2.5712988779007562</v>
      </c>
      <c r="J60">
        <v>59</v>
      </c>
      <c r="K60">
        <f t="shared" si="5"/>
        <v>1.125443503406403</v>
      </c>
      <c r="L60">
        <f t="shared" si="0"/>
        <v>1.0947348664489249</v>
      </c>
      <c r="M60">
        <f t="shared" si="1"/>
        <v>1.150600830989847</v>
      </c>
    </row>
    <row r="61" spans="1:13" x14ac:dyDescent="0.25">
      <c r="A61">
        <v>47</v>
      </c>
      <c r="B61">
        <v>1.1154466192201</v>
      </c>
      <c r="C61">
        <v>-148.09275467402759</v>
      </c>
      <c r="D61">
        <v>1.0863915822977259</v>
      </c>
      <c r="E61">
        <v>94.279384562910124</v>
      </c>
      <c r="F61">
        <v>1.1407650124483879</v>
      </c>
      <c r="G61">
        <v>-25.317765661458459</v>
      </c>
      <c r="H61">
        <v>2.9193824907122061</v>
      </c>
      <c r="J61">
        <v>60</v>
      </c>
      <c r="K61">
        <f t="shared" si="5"/>
        <v>1.1246644097715519</v>
      </c>
      <c r="L61">
        <f t="shared" si="0"/>
        <v>1.094571276635256</v>
      </c>
      <c r="M61">
        <f t="shared" si="1"/>
        <v>1.154640283435016</v>
      </c>
    </row>
    <row r="62" spans="1:13" x14ac:dyDescent="0.25">
      <c r="A62">
        <v>48</v>
      </c>
      <c r="B62">
        <v>1.1178726770867959</v>
      </c>
      <c r="C62">
        <v>-148.04133210753309</v>
      </c>
      <c r="D62">
        <v>1.0891992417715559</v>
      </c>
      <c r="E62">
        <v>94.374863743081619</v>
      </c>
      <c r="F62">
        <v>1.143859348852851</v>
      </c>
      <c r="G62">
        <v>-25.243056238286719</v>
      </c>
      <c r="H62">
        <v>2.9402628797885728</v>
      </c>
      <c r="J62">
        <v>61</v>
      </c>
      <c r="K62">
        <f t="shared" si="5"/>
        <v>1.121773716712045</v>
      </c>
      <c r="L62">
        <f t="shared" si="0"/>
        <v>1.091868838984053</v>
      </c>
      <c r="M62">
        <f t="shared" si="1"/>
        <v>1.1496772753676221</v>
      </c>
    </row>
    <row r="63" spans="1:13" x14ac:dyDescent="0.25">
      <c r="A63">
        <v>49</v>
      </c>
      <c r="B63">
        <v>1.1030779663144279</v>
      </c>
      <c r="C63">
        <v>-148.2878672488622</v>
      </c>
      <c r="D63">
        <v>1.079240538907287</v>
      </c>
      <c r="E63">
        <v>93.594015924393503</v>
      </c>
      <c r="F63">
        <v>1.1219106558950309</v>
      </c>
      <c r="G63">
        <v>-26.021181651183561</v>
      </c>
      <c r="H63">
        <v>2.3423573859724982</v>
      </c>
      <c r="J63">
        <v>62</v>
      </c>
      <c r="K63">
        <f t="shared" si="5"/>
        <v>1.122684638735342</v>
      </c>
      <c r="L63">
        <f t="shared" si="0"/>
        <v>1.0925930765323211</v>
      </c>
      <c r="M63">
        <f t="shared" si="1"/>
        <v>1.150598397728237</v>
      </c>
    </row>
    <row r="64" spans="1:13" x14ac:dyDescent="0.25">
      <c r="A64">
        <v>5</v>
      </c>
      <c r="B64">
        <v>1.072347142654873</v>
      </c>
      <c r="C64">
        <v>-148.93779846436911</v>
      </c>
      <c r="D64">
        <v>1.0573948831766491</v>
      </c>
      <c r="E64">
        <v>91.7931086612857</v>
      </c>
      <c r="F64">
        <v>1.0759316915553241</v>
      </c>
      <c r="G64">
        <v>-27.758019261933121</v>
      </c>
      <c r="H64">
        <v>1.1322031265882511</v>
      </c>
      <c r="J64">
        <v>63</v>
      </c>
      <c r="K64">
        <f t="shared" si="5"/>
        <v>1.125948000527516</v>
      </c>
      <c r="L64">
        <f t="shared" si="0"/>
        <v>1.095154966495671</v>
      </c>
      <c r="M64">
        <f t="shared" si="1"/>
        <v>1.151070242349147</v>
      </c>
    </row>
    <row r="65" spans="1:13" x14ac:dyDescent="0.25">
      <c r="A65">
        <v>50</v>
      </c>
      <c r="B65">
        <v>1.1151796935345311</v>
      </c>
      <c r="C65">
        <v>-148.08188579587281</v>
      </c>
      <c r="D65">
        <v>1.086341601601416</v>
      </c>
      <c r="E65">
        <v>94.280349180650035</v>
      </c>
      <c r="F65">
        <v>1.141559032408324</v>
      </c>
      <c r="G65">
        <v>-25.317377949296691</v>
      </c>
      <c r="H65">
        <v>2.9331325765846472</v>
      </c>
      <c r="J65">
        <v>64</v>
      </c>
      <c r="K65">
        <f t="shared" si="5"/>
        <v>1.121675690900422</v>
      </c>
      <c r="L65">
        <f t="shared" si="0"/>
        <v>1.091556591325366</v>
      </c>
      <c r="M65">
        <f t="shared" si="1"/>
        <v>1.149614365034668</v>
      </c>
    </row>
    <row r="66" spans="1:13" x14ac:dyDescent="0.25">
      <c r="A66">
        <v>51</v>
      </c>
      <c r="B66">
        <v>1.1212747044772651</v>
      </c>
      <c r="C66">
        <v>-147.98765864293929</v>
      </c>
      <c r="D66">
        <v>1.091673068205294</v>
      </c>
      <c r="E66">
        <v>94.559015485202252</v>
      </c>
      <c r="F66">
        <v>1.1492404894932939</v>
      </c>
      <c r="G66">
        <v>-25.06491263348337</v>
      </c>
      <c r="H66">
        <v>3.082592335769776</v>
      </c>
      <c r="J66">
        <v>65</v>
      </c>
      <c r="K66">
        <f t="shared" si="5"/>
        <v>1.1261463976838439</v>
      </c>
      <c r="L66">
        <f t="shared" ref="L66:L117" si="6">_xlfn.SINGLE(_xlfn.XLOOKUP($J66,$A:$A,D:D))</f>
        <v>1.0953913208086881</v>
      </c>
      <c r="M66">
        <f t="shared" ref="M66:M117" si="7">_xlfn.SINGLE(_xlfn.XLOOKUP($J66,$A:$A,F:F))</f>
        <v>1.1513648058182471</v>
      </c>
    </row>
    <row r="67" spans="1:13" x14ac:dyDescent="0.25">
      <c r="A67">
        <v>52</v>
      </c>
      <c r="B67">
        <v>1.1198641549175019</v>
      </c>
      <c r="C67">
        <v>-148.01447044759189</v>
      </c>
      <c r="D67">
        <v>1.089714687219792</v>
      </c>
      <c r="E67">
        <v>94.461509673886965</v>
      </c>
      <c r="F67">
        <v>1.144846017610087</v>
      </c>
      <c r="G67">
        <v>-25.178920590311701</v>
      </c>
      <c r="H67">
        <v>2.981835690816133</v>
      </c>
      <c r="J67">
        <v>66</v>
      </c>
      <c r="K67">
        <f t="shared" ref="K67:K117" si="8">_xlfn.SINGLE(_xlfn.XLOOKUP($J67,$A:$A,B:B))</f>
        <v>1.1268579373901839</v>
      </c>
      <c r="L67">
        <f t="shared" si="6"/>
        <v>1.09586695903989</v>
      </c>
      <c r="M67">
        <f t="shared" si="7"/>
        <v>1.1519975093903241</v>
      </c>
    </row>
    <row r="68" spans="1:13" x14ac:dyDescent="0.25">
      <c r="A68">
        <v>53</v>
      </c>
      <c r="B68">
        <v>1.1220601000555921</v>
      </c>
      <c r="C68">
        <v>-147.96655113749279</v>
      </c>
      <c r="D68">
        <v>1.0917007266210359</v>
      </c>
      <c r="E68">
        <v>94.553305430984864</v>
      </c>
      <c r="F68">
        <v>1.147126082150415</v>
      </c>
      <c r="G68">
        <v>-25.113924480231191</v>
      </c>
      <c r="H68">
        <v>3.0033346847101261</v>
      </c>
      <c r="J68">
        <v>67</v>
      </c>
      <c r="K68">
        <f t="shared" si="8"/>
        <v>1.1229418097055299</v>
      </c>
      <c r="L68">
        <f t="shared" si="6"/>
        <v>1.09282216258684</v>
      </c>
      <c r="M68">
        <f t="shared" si="7"/>
        <v>1.148344971539949</v>
      </c>
    </row>
    <row r="69" spans="1:13" x14ac:dyDescent="0.25">
      <c r="A69">
        <v>54</v>
      </c>
      <c r="B69">
        <v>1.1180237950959671</v>
      </c>
      <c r="C69">
        <v>-148.03762148744951</v>
      </c>
      <c r="D69">
        <v>1.089352948619918</v>
      </c>
      <c r="E69">
        <v>94.379420336162724</v>
      </c>
      <c r="F69">
        <v>1.1439957100505</v>
      </c>
      <c r="G69">
        <v>-25.239228796979621</v>
      </c>
      <c r="H69">
        <v>2.9398947768650361</v>
      </c>
      <c r="J69">
        <v>68</v>
      </c>
      <c r="K69">
        <f t="shared" si="8"/>
        <v>1.1265090267515201</v>
      </c>
      <c r="L69">
        <f t="shared" si="6"/>
        <v>1.0958236836381039</v>
      </c>
      <c r="M69">
        <f t="shared" si="7"/>
        <v>1.1588746258691629</v>
      </c>
    </row>
    <row r="70" spans="1:13" x14ac:dyDescent="0.25">
      <c r="A70">
        <v>55</v>
      </c>
      <c r="B70">
        <v>1.123463487134333</v>
      </c>
      <c r="C70">
        <v>-147.92804380070791</v>
      </c>
      <c r="D70">
        <v>1.0930157319288609</v>
      </c>
      <c r="E70">
        <v>94.630285800178982</v>
      </c>
      <c r="F70">
        <v>1.1486489236835999</v>
      </c>
      <c r="G70">
        <v>-25.065198579701299</v>
      </c>
      <c r="H70">
        <v>3.0197774631124492</v>
      </c>
      <c r="J70">
        <v>69</v>
      </c>
      <c r="K70">
        <f t="shared" si="8"/>
        <v>1.1255723858942741</v>
      </c>
      <c r="L70">
        <f t="shared" si="6"/>
        <v>1.0949862529239209</v>
      </c>
      <c r="M70">
        <f t="shared" si="7"/>
        <v>1.1509402042597361</v>
      </c>
    </row>
    <row r="71" spans="1:13" x14ac:dyDescent="0.25">
      <c r="A71">
        <v>56</v>
      </c>
      <c r="B71">
        <v>1.1232359683074551</v>
      </c>
      <c r="C71">
        <v>-147.92821436246109</v>
      </c>
      <c r="D71">
        <v>1.0928568331827591</v>
      </c>
      <c r="E71">
        <v>94.633608507922801</v>
      </c>
      <c r="F71">
        <v>1.148479851563363</v>
      </c>
      <c r="G71">
        <v>-25.067687069555539</v>
      </c>
      <c r="H71">
        <v>3.019686532840903</v>
      </c>
      <c r="J71">
        <v>70</v>
      </c>
      <c r="K71">
        <f t="shared" si="8"/>
        <v>1.1253130662829831</v>
      </c>
      <c r="L71">
        <f t="shared" si="6"/>
        <v>1.094918100546636</v>
      </c>
      <c r="M71">
        <f t="shared" si="7"/>
        <v>1.15085525121848</v>
      </c>
    </row>
    <row r="72" spans="1:13" x14ac:dyDescent="0.25">
      <c r="A72">
        <v>57</v>
      </c>
      <c r="B72">
        <v>1.1228760965178659</v>
      </c>
      <c r="C72">
        <v>-147.92397689366041</v>
      </c>
      <c r="D72">
        <v>1.0924838129177521</v>
      </c>
      <c r="E72">
        <v>94.640167459363568</v>
      </c>
      <c r="F72">
        <v>1.148093337816495</v>
      </c>
      <c r="G72">
        <v>-25.06268602146146</v>
      </c>
      <c r="H72">
        <v>3.0207075119306581</v>
      </c>
      <c r="J72">
        <v>71</v>
      </c>
      <c r="K72">
        <f t="shared" si="8"/>
        <v>1.1284368005634939</v>
      </c>
      <c r="L72">
        <f t="shared" si="6"/>
        <v>1.096969371309561</v>
      </c>
      <c r="M72">
        <f t="shared" si="7"/>
        <v>1.1630026105695599</v>
      </c>
    </row>
    <row r="73" spans="1:13" x14ac:dyDescent="0.25">
      <c r="A73">
        <v>58</v>
      </c>
      <c r="B73">
        <v>1.1240175652334601</v>
      </c>
      <c r="C73">
        <v>-147.9336939029649</v>
      </c>
      <c r="D73">
        <v>1.093898288625222</v>
      </c>
      <c r="E73">
        <v>94.727496941277337</v>
      </c>
      <c r="F73">
        <v>1.1540535844877751</v>
      </c>
      <c r="G73">
        <v>-24.91042346323642</v>
      </c>
      <c r="H73">
        <v>3.2047638491011181</v>
      </c>
      <c r="J73">
        <v>72</v>
      </c>
      <c r="K73">
        <f t="shared" si="8"/>
        <v>1.1265955089924451</v>
      </c>
      <c r="L73">
        <f t="shared" si="6"/>
        <v>1.095814793064545</v>
      </c>
      <c r="M73">
        <f t="shared" si="7"/>
        <v>1.151668528423202</v>
      </c>
    </row>
    <row r="74" spans="1:13" x14ac:dyDescent="0.25">
      <c r="A74">
        <v>59</v>
      </c>
      <c r="B74">
        <v>1.125443503406403</v>
      </c>
      <c r="C74">
        <v>-147.88922115661109</v>
      </c>
      <c r="D74">
        <v>1.0947348664489249</v>
      </c>
      <c r="E74">
        <v>94.698653615858262</v>
      </c>
      <c r="F74">
        <v>1.150600830989847</v>
      </c>
      <c r="G74">
        <v>-25.010330142009909</v>
      </c>
      <c r="H74">
        <v>3.0364383622957192</v>
      </c>
      <c r="J74">
        <v>73</v>
      </c>
      <c r="K74">
        <f t="shared" si="8"/>
        <v>1.1283445760224411</v>
      </c>
      <c r="L74">
        <f t="shared" si="6"/>
        <v>1.0968741173505969</v>
      </c>
      <c r="M74">
        <f t="shared" si="7"/>
        <v>1.163166037088315</v>
      </c>
    </row>
    <row r="75" spans="1:13" x14ac:dyDescent="0.25">
      <c r="A75">
        <v>6</v>
      </c>
      <c r="B75">
        <v>1.0783870669273019</v>
      </c>
      <c r="C75">
        <v>-148.76238874949311</v>
      </c>
      <c r="D75">
        <v>1.061726906689757</v>
      </c>
      <c r="E75">
        <v>92.228971390044762</v>
      </c>
      <c r="F75">
        <v>1.0856497656052</v>
      </c>
      <c r="G75">
        <v>-27.343355446376119</v>
      </c>
      <c r="H75">
        <v>1.3925218238877159</v>
      </c>
      <c r="J75">
        <v>74</v>
      </c>
      <c r="K75">
        <f t="shared" si="8"/>
        <v>1.130676353259245</v>
      </c>
      <c r="L75">
        <f t="shared" si="6"/>
        <v>1.098443718511962</v>
      </c>
      <c r="M75">
        <f t="shared" si="7"/>
        <v>1.1665857704324309</v>
      </c>
    </row>
    <row r="76" spans="1:13" x14ac:dyDescent="0.25">
      <c r="A76">
        <v>60</v>
      </c>
      <c r="B76">
        <v>1.1246644097715519</v>
      </c>
      <c r="C76">
        <v>-147.92753177847979</v>
      </c>
      <c r="D76">
        <v>1.094571276635256</v>
      </c>
      <c r="E76">
        <v>94.736926699653708</v>
      </c>
      <c r="F76">
        <v>1.154640283435016</v>
      </c>
      <c r="G76">
        <v>-24.902681041790249</v>
      </c>
      <c r="H76">
        <v>3.2030662783203669</v>
      </c>
      <c r="J76">
        <v>75</v>
      </c>
      <c r="K76">
        <f t="shared" si="8"/>
        <v>1.125448108778069</v>
      </c>
      <c r="L76">
        <f t="shared" si="6"/>
        <v>1.094853207373313</v>
      </c>
      <c r="M76">
        <f t="shared" si="7"/>
        <v>1.1508060770431361</v>
      </c>
    </row>
    <row r="77" spans="1:13" x14ac:dyDescent="0.25">
      <c r="A77">
        <v>61</v>
      </c>
      <c r="B77">
        <v>1.121773716712045</v>
      </c>
      <c r="C77">
        <v>-147.98810148369449</v>
      </c>
      <c r="D77">
        <v>1.091868838984053</v>
      </c>
      <c r="E77">
        <v>94.570283547067248</v>
      </c>
      <c r="F77">
        <v>1.1496772753676221</v>
      </c>
      <c r="G77">
        <v>-25.04815828556071</v>
      </c>
      <c r="H77">
        <v>3.0973689928787902</v>
      </c>
      <c r="J77">
        <v>76</v>
      </c>
      <c r="K77">
        <f t="shared" si="8"/>
        <v>1.1223650608922049</v>
      </c>
      <c r="L77">
        <f t="shared" si="6"/>
        <v>1.0919220943502681</v>
      </c>
      <c r="M77">
        <f t="shared" si="7"/>
        <v>1.147412916495528</v>
      </c>
    </row>
    <row r="78" spans="1:13" x14ac:dyDescent="0.25">
      <c r="A78">
        <v>62</v>
      </c>
      <c r="B78">
        <v>1.122684638735342</v>
      </c>
      <c r="C78">
        <v>-147.99262058848549</v>
      </c>
      <c r="D78">
        <v>1.0925930765323211</v>
      </c>
      <c r="E78">
        <v>94.578656141088686</v>
      </c>
      <c r="F78">
        <v>1.150598397728237</v>
      </c>
      <c r="G78">
        <v>-25.037899590652351</v>
      </c>
      <c r="H78">
        <v>3.1096319946449231</v>
      </c>
      <c r="J78">
        <v>77</v>
      </c>
      <c r="K78">
        <f t="shared" si="8"/>
        <v>1.125210656818727</v>
      </c>
      <c r="L78">
        <f t="shared" si="6"/>
        <v>1.094891191274965</v>
      </c>
      <c r="M78">
        <f t="shared" si="7"/>
        <v>1.1508217062417441</v>
      </c>
    </row>
    <row r="79" spans="1:13" x14ac:dyDescent="0.25">
      <c r="A79">
        <v>63</v>
      </c>
      <c r="B79">
        <v>1.125948000527516</v>
      </c>
      <c r="C79">
        <v>-147.88153611227381</v>
      </c>
      <c r="D79">
        <v>1.095154966495671</v>
      </c>
      <c r="E79">
        <v>94.710481107833161</v>
      </c>
      <c r="F79">
        <v>1.151070242349147</v>
      </c>
      <c r="G79">
        <v>-24.998242089438229</v>
      </c>
      <c r="H79">
        <v>3.0397637860596438</v>
      </c>
      <c r="J79">
        <v>78</v>
      </c>
      <c r="K79">
        <f t="shared" si="8"/>
        <v>1.126650707717707</v>
      </c>
      <c r="L79">
        <f t="shared" si="6"/>
        <v>1.095810660740159</v>
      </c>
      <c r="M79">
        <f t="shared" si="7"/>
        <v>1.151834266156331</v>
      </c>
    </row>
    <row r="80" spans="1:13" x14ac:dyDescent="0.25">
      <c r="A80">
        <v>64</v>
      </c>
      <c r="B80">
        <v>1.121675690900422</v>
      </c>
      <c r="C80">
        <v>-147.9951755435988</v>
      </c>
      <c r="D80">
        <v>1.091556591325366</v>
      </c>
      <c r="E80">
        <v>94.575960155673016</v>
      </c>
      <c r="F80">
        <v>1.149614365034668</v>
      </c>
      <c r="G80">
        <v>-25.040304780709789</v>
      </c>
      <c r="H80">
        <v>3.1123481311088681</v>
      </c>
      <c r="J80">
        <v>79</v>
      </c>
      <c r="K80">
        <f t="shared" si="8"/>
        <v>1.1329637674488471</v>
      </c>
      <c r="L80">
        <f t="shared" si="6"/>
        <v>1.1002009652801199</v>
      </c>
      <c r="M80">
        <f t="shared" si="7"/>
        <v>1.1702669860139649</v>
      </c>
    </row>
    <row r="81" spans="1:13" x14ac:dyDescent="0.25">
      <c r="A81">
        <v>65</v>
      </c>
      <c r="B81">
        <v>1.1261463976838439</v>
      </c>
      <c r="C81">
        <v>-147.86994736510101</v>
      </c>
      <c r="D81">
        <v>1.0953913208086881</v>
      </c>
      <c r="E81">
        <v>94.736930452938978</v>
      </c>
      <c r="F81">
        <v>1.1513648058182471</v>
      </c>
      <c r="G81">
        <v>-24.986192246957899</v>
      </c>
      <c r="H81">
        <v>3.0446497667539409</v>
      </c>
      <c r="J81">
        <v>80</v>
      </c>
      <c r="K81">
        <f t="shared" si="8"/>
        <v>1.127298163437594</v>
      </c>
      <c r="L81">
        <f t="shared" si="6"/>
        <v>1.096469338797577</v>
      </c>
      <c r="M81">
        <f t="shared" si="7"/>
        <v>1.152432530253902</v>
      </c>
    </row>
    <row r="82" spans="1:13" x14ac:dyDescent="0.25">
      <c r="A82">
        <v>66</v>
      </c>
      <c r="B82">
        <v>1.1268579373901839</v>
      </c>
      <c r="C82">
        <v>-147.88550304036181</v>
      </c>
      <c r="D82">
        <v>1.09586695903989</v>
      </c>
      <c r="E82">
        <v>94.718692421573039</v>
      </c>
      <c r="F82">
        <v>1.1519975093903241</v>
      </c>
      <c r="G82">
        <v>-24.98840626205762</v>
      </c>
      <c r="H82">
        <v>3.0520482741023209</v>
      </c>
      <c r="J82">
        <v>81</v>
      </c>
      <c r="K82">
        <f t="shared" si="8"/>
        <v>1.127560462999136</v>
      </c>
      <c r="L82">
        <f t="shared" si="6"/>
        <v>1.096521446666247</v>
      </c>
      <c r="M82">
        <f t="shared" si="7"/>
        <v>1.1527612854487941</v>
      </c>
    </row>
    <row r="83" spans="1:13" x14ac:dyDescent="0.25">
      <c r="A83">
        <v>67</v>
      </c>
      <c r="B83">
        <v>1.1229418097055299</v>
      </c>
      <c r="C83">
        <v>-147.9242746728444</v>
      </c>
      <c r="D83">
        <v>1.09282216258684</v>
      </c>
      <c r="E83">
        <v>94.642787205359795</v>
      </c>
      <c r="F83">
        <v>1.148344971539949</v>
      </c>
      <c r="G83">
        <v>-25.073518147581979</v>
      </c>
      <c r="H83">
        <v>3.014852931050088</v>
      </c>
      <c r="J83">
        <v>82</v>
      </c>
      <c r="K83">
        <f t="shared" si="8"/>
        <v>1.134279243721724</v>
      </c>
      <c r="L83">
        <f t="shared" si="6"/>
        <v>1.101202944659728</v>
      </c>
      <c r="M83">
        <f t="shared" si="7"/>
        <v>1.1731675427767521</v>
      </c>
    </row>
    <row r="84" spans="1:13" x14ac:dyDescent="0.25">
      <c r="A84">
        <v>68</v>
      </c>
      <c r="B84">
        <v>1.1265090267515201</v>
      </c>
      <c r="C84">
        <v>-147.88713845044359</v>
      </c>
      <c r="D84">
        <v>1.0958236836381039</v>
      </c>
      <c r="E84">
        <v>94.895682597462311</v>
      </c>
      <c r="F84">
        <v>1.1588746258691629</v>
      </c>
      <c r="G84">
        <v>-24.755503137357149</v>
      </c>
      <c r="H84">
        <v>3.3392838630077621</v>
      </c>
      <c r="J84">
        <v>83</v>
      </c>
      <c r="K84">
        <f t="shared" si="8"/>
        <v>1.1306623305923591</v>
      </c>
      <c r="L84">
        <f t="shared" si="6"/>
        <v>1.0983619661903861</v>
      </c>
      <c r="M84">
        <f t="shared" si="7"/>
        <v>1.166558474338135</v>
      </c>
    </row>
    <row r="85" spans="1:13" x14ac:dyDescent="0.25">
      <c r="A85">
        <v>69</v>
      </c>
      <c r="B85">
        <v>1.1255723858942741</v>
      </c>
      <c r="C85">
        <v>-147.87019410099111</v>
      </c>
      <c r="D85">
        <v>1.0949862529239209</v>
      </c>
      <c r="E85">
        <v>94.745276395547691</v>
      </c>
      <c r="F85">
        <v>1.1509402042597361</v>
      </c>
      <c r="G85">
        <v>-24.992604707325441</v>
      </c>
      <c r="H85">
        <v>3.0444883686523818</v>
      </c>
      <c r="J85">
        <v>84</v>
      </c>
      <c r="K85">
        <f t="shared" si="8"/>
        <v>1.1343548183387739</v>
      </c>
      <c r="L85">
        <f t="shared" si="6"/>
        <v>1.1013421882260339</v>
      </c>
      <c r="M85">
        <f t="shared" si="7"/>
        <v>1.1735311525266829</v>
      </c>
    </row>
    <row r="86" spans="1:13" x14ac:dyDescent="0.25">
      <c r="A86">
        <v>7</v>
      </c>
      <c r="B86">
        <v>1.0799506702863859</v>
      </c>
      <c r="C86">
        <v>-148.74715072391729</v>
      </c>
      <c r="D86">
        <v>1.0639163801435081</v>
      </c>
      <c r="E86">
        <v>92.254792964416708</v>
      </c>
      <c r="F86">
        <v>1.087592347701432</v>
      </c>
      <c r="G86">
        <v>-27.350820608476091</v>
      </c>
      <c r="H86">
        <v>1.373319917402303</v>
      </c>
      <c r="J86">
        <v>85</v>
      </c>
      <c r="K86">
        <f t="shared" si="8"/>
        <v>1.1353397203521689</v>
      </c>
      <c r="L86">
        <f t="shared" si="6"/>
        <v>1.1017381013374179</v>
      </c>
      <c r="M86">
        <f t="shared" si="7"/>
        <v>1.1748430564161549</v>
      </c>
    </row>
    <row r="87" spans="1:13" x14ac:dyDescent="0.25">
      <c r="A87">
        <v>70</v>
      </c>
      <c r="B87">
        <v>1.1253130662829831</v>
      </c>
      <c r="C87">
        <v>-147.8700751187705</v>
      </c>
      <c r="D87">
        <v>1.094918100546636</v>
      </c>
      <c r="E87">
        <v>94.752433767209169</v>
      </c>
      <c r="F87">
        <v>1.15085525121848</v>
      </c>
      <c r="G87">
        <v>-24.99892889455791</v>
      </c>
      <c r="H87">
        <v>3.0434733810427481</v>
      </c>
      <c r="J87">
        <v>86</v>
      </c>
      <c r="K87">
        <f t="shared" si="8"/>
        <v>1.136444883468432</v>
      </c>
      <c r="L87">
        <f t="shared" si="6"/>
        <v>1.10255114401975</v>
      </c>
      <c r="M87">
        <f t="shared" si="7"/>
        <v>1.1766141653998841</v>
      </c>
    </row>
    <row r="88" spans="1:13" x14ac:dyDescent="0.25">
      <c r="A88">
        <v>71</v>
      </c>
      <c r="B88">
        <v>1.1284368005634939</v>
      </c>
      <c r="C88">
        <v>-147.85331666219719</v>
      </c>
      <c r="D88">
        <v>1.096969371309561</v>
      </c>
      <c r="E88">
        <v>95.042015898170121</v>
      </c>
      <c r="F88">
        <v>1.1630026105695599</v>
      </c>
      <c r="G88">
        <v>-24.608212763191769</v>
      </c>
      <c r="H88">
        <v>3.476481053540931</v>
      </c>
      <c r="J88">
        <v>87</v>
      </c>
      <c r="K88">
        <f t="shared" si="8"/>
        <v>1.1349981834948171</v>
      </c>
      <c r="L88">
        <f t="shared" si="6"/>
        <v>1.102018447920563</v>
      </c>
      <c r="M88">
        <f t="shared" si="7"/>
        <v>1.174098441852611</v>
      </c>
    </row>
    <row r="89" spans="1:13" x14ac:dyDescent="0.25">
      <c r="A89">
        <v>72</v>
      </c>
      <c r="B89">
        <v>1.1265955089924451</v>
      </c>
      <c r="C89">
        <v>-147.87473620651889</v>
      </c>
      <c r="D89">
        <v>1.095814793064545</v>
      </c>
      <c r="E89">
        <v>94.719708754508162</v>
      </c>
      <c r="F89">
        <v>1.151668528423202</v>
      </c>
      <c r="G89">
        <v>-24.9909300497625</v>
      </c>
      <c r="H89">
        <v>3.0381986823097811</v>
      </c>
      <c r="J89">
        <v>88</v>
      </c>
      <c r="K89">
        <f t="shared" si="8"/>
        <v>1.135326521501604</v>
      </c>
      <c r="L89">
        <f t="shared" si="6"/>
        <v>1.101656522039508</v>
      </c>
      <c r="M89">
        <f t="shared" si="7"/>
        <v>1.1748152745990541</v>
      </c>
    </row>
    <row r="90" spans="1:13" x14ac:dyDescent="0.25">
      <c r="A90">
        <v>73</v>
      </c>
      <c r="B90">
        <v>1.1283445760224411</v>
      </c>
      <c r="C90">
        <v>-147.85368466953699</v>
      </c>
      <c r="D90">
        <v>1.0968741173505969</v>
      </c>
      <c r="E90">
        <v>95.042506317421555</v>
      </c>
      <c r="F90">
        <v>1.163166037088315</v>
      </c>
      <c r="G90">
        <v>-24.603971292357521</v>
      </c>
      <c r="H90">
        <v>3.4845592296536672</v>
      </c>
      <c r="J90">
        <v>89</v>
      </c>
      <c r="K90">
        <f t="shared" si="8"/>
        <v>1.1375502130560879</v>
      </c>
      <c r="L90">
        <f t="shared" si="6"/>
        <v>1.103366594579076</v>
      </c>
      <c r="M90">
        <f t="shared" si="7"/>
        <v>1.1783869200168591</v>
      </c>
    </row>
    <row r="91" spans="1:13" x14ac:dyDescent="0.25">
      <c r="A91">
        <v>74</v>
      </c>
      <c r="B91">
        <v>1.130676353259245</v>
      </c>
      <c r="C91">
        <v>-147.8183795904624</v>
      </c>
      <c r="D91">
        <v>1.098443718511962</v>
      </c>
      <c r="E91">
        <v>95.186346784004471</v>
      </c>
      <c r="F91">
        <v>1.1665857704324309</v>
      </c>
      <c r="G91">
        <v>-24.47617416860534</v>
      </c>
      <c r="H91">
        <v>3.585943552112695</v>
      </c>
      <c r="J91">
        <v>90</v>
      </c>
      <c r="K91">
        <f t="shared" si="8"/>
        <v>1.137375603382579</v>
      </c>
      <c r="L91">
        <f t="shared" si="6"/>
        <v>1.1031062286849029</v>
      </c>
      <c r="M91">
        <f t="shared" si="7"/>
        <v>1.1790361636966571</v>
      </c>
    </row>
    <row r="92" spans="1:13" x14ac:dyDescent="0.25">
      <c r="A92">
        <v>75</v>
      </c>
      <c r="B92">
        <v>1.125448108778069</v>
      </c>
      <c r="C92">
        <v>-147.870338573787</v>
      </c>
      <c r="D92">
        <v>1.094853207373313</v>
      </c>
      <c r="E92">
        <v>94.745747247713965</v>
      </c>
      <c r="F92">
        <v>1.1508060770431361</v>
      </c>
      <c r="G92">
        <v>-24.992640679895729</v>
      </c>
      <c r="H92">
        <v>3.044844526847438</v>
      </c>
      <c r="J92">
        <v>91</v>
      </c>
      <c r="K92">
        <f t="shared" si="8"/>
        <v>1.1374528496573419</v>
      </c>
      <c r="L92">
        <f t="shared" si="6"/>
        <v>1.1032431704959971</v>
      </c>
      <c r="M92">
        <f t="shared" si="7"/>
        <v>1.1791341844835981</v>
      </c>
    </row>
    <row r="93" spans="1:13" x14ac:dyDescent="0.25">
      <c r="A93">
        <v>76</v>
      </c>
      <c r="B93">
        <v>1.1223650608922049</v>
      </c>
      <c r="C93">
        <v>-147.9639345852606</v>
      </c>
      <c r="D93">
        <v>1.0919220943502681</v>
      </c>
      <c r="E93">
        <v>94.559210961132038</v>
      </c>
      <c r="F93">
        <v>1.147412916495528</v>
      </c>
      <c r="G93">
        <v>-25.10667574744442</v>
      </c>
      <c r="H93">
        <v>3.0071781638177169</v>
      </c>
      <c r="J93">
        <v>92</v>
      </c>
      <c r="K93">
        <f t="shared" si="8"/>
        <v>1.1369402117427621</v>
      </c>
      <c r="L93">
        <f t="shared" si="6"/>
        <v>1.1023841860188739</v>
      </c>
      <c r="M93">
        <f t="shared" si="7"/>
        <v>1.1793549086749251</v>
      </c>
    </row>
    <row r="94" spans="1:13" x14ac:dyDescent="0.25">
      <c r="A94">
        <v>77</v>
      </c>
      <c r="B94">
        <v>1.125210656818727</v>
      </c>
      <c r="C94">
        <v>-147.8700281044338</v>
      </c>
      <c r="D94">
        <v>1.094891191274965</v>
      </c>
      <c r="E94">
        <v>94.755260603131205</v>
      </c>
      <c r="F94">
        <v>1.1508217062417441</v>
      </c>
      <c r="G94">
        <v>-25.001426680256429</v>
      </c>
      <c r="H94">
        <v>3.0430858385029311</v>
      </c>
      <c r="J94">
        <v>93</v>
      </c>
      <c r="K94">
        <f t="shared" si="8"/>
        <v>1.138097749488836</v>
      </c>
      <c r="L94">
        <f t="shared" si="6"/>
        <v>1.103916341040478</v>
      </c>
      <c r="M94">
        <f t="shared" si="7"/>
        <v>1.179697411176478</v>
      </c>
    </row>
    <row r="95" spans="1:13" x14ac:dyDescent="0.25">
      <c r="A95">
        <v>78</v>
      </c>
      <c r="B95">
        <v>1.126650707717707</v>
      </c>
      <c r="C95">
        <v>-147.8622465828127</v>
      </c>
      <c r="D95">
        <v>1.095810660740159</v>
      </c>
      <c r="E95">
        <v>94.74873837099787</v>
      </c>
      <c r="F95">
        <v>1.151834266156331</v>
      </c>
      <c r="G95">
        <v>-24.97413950440033</v>
      </c>
      <c r="H95">
        <v>3.0479658419113509</v>
      </c>
      <c r="J95">
        <v>94</v>
      </c>
      <c r="K95">
        <f t="shared" si="8"/>
        <v>1.137078714942793</v>
      </c>
      <c r="L95">
        <f t="shared" si="6"/>
        <v>1.1024558973426879</v>
      </c>
      <c r="M95">
        <f t="shared" si="7"/>
        <v>1.1794546766160869</v>
      </c>
    </row>
    <row r="96" spans="1:13" x14ac:dyDescent="0.25">
      <c r="A96">
        <v>79</v>
      </c>
      <c r="B96">
        <v>1.1329637674488471</v>
      </c>
      <c r="C96">
        <v>-147.77642795894459</v>
      </c>
      <c r="D96">
        <v>1.1002009652801199</v>
      </c>
      <c r="E96">
        <v>95.328858072710744</v>
      </c>
      <c r="F96">
        <v>1.1702669860139649</v>
      </c>
      <c r="G96">
        <v>-24.35069843348921</v>
      </c>
      <c r="H96">
        <v>3.6835506739547679</v>
      </c>
      <c r="J96">
        <v>95</v>
      </c>
      <c r="K96">
        <f t="shared" si="8"/>
        <v>1.134062737277729</v>
      </c>
      <c r="L96">
        <f t="shared" si="6"/>
        <v>1.1013292795569889</v>
      </c>
      <c r="M96">
        <f t="shared" si="7"/>
        <v>1.174475441686055</v>
      </c>
    </row>
    <row r="97" spans="1:13" x14ac:dyDescent="0.25">
      <c r="A97">
        <v>8</v>
      </c>
      <c r="B97">
        <v>1.0823556443435061</v>
      </c>
      <c r="C97">
        <v>-148.6859242504282</v>
      </c>
      <c r="D97">
        <v>1.0640814958225271</v>
      </c>
      <c r="E97">
        <v>92.475915355949013</v>
      </c>
      <c r="F97">
        <v>1.0918344041425769</v>
      </c>
      <c r="G97">
        <v>-27.089501421623801</v>
      </c>
      <c r="H97">
        <v>1.586362765839316</v>
      </c>
      <c r="J97">
        <v>96</v>
      </c>
      <c r="K97">
        <f t="shared" si="8"/>
        <v>1.136727634098079</v>
      </c>
      <c r="L97">
        <f t="shared" si="6"/>
        <v>1.1021041474603539</v>
      </c>
      <c r="M97">
        <f t="shared" si="7"/>
        <v>1.1790571939551731</v>
      </c>
    </row>
    <row r="98" spans="1:13" x14ac:dyDescent="0.25">
      <c r="A98">
        <v>80</v>
      </c>
      <c r="B98">
        <v>1.127298163437594</v>
      </c>
      <c r="C98">
        <v>-147.85542181923901</v>
      </c>
      <c r="D98">
        <v>1.096469338797577</v>
      </c>
      <c r="E98">
        <v>94.757958189729166</v>
      </c>
      <c r="F98">
        <v>1.152432530253902</v>
      </c>
      <c r="G98">
        <v>-24.966871892416869</v>
      </c>
      <c r="H98">
        <v>3.046402406003077</v>
      </c>
      <c r="J98">
        <v>97</v>
      </c>
      <c r="K98">
        <f t="shared" si="8"/>
        <v>1.126676155870924</v>
      </c>
      <c r="L98">
        <f t="shared" si="6"/>
        <v>1.0960570871320929</v>
      </c>
      <c r="M98">
        <f t="shared" si="7"/>
        <v>1.15908229051253</v>
      </c>
    </row>
    <row r="99" spans="1:13" x14ac:dyDescent="0.25">
      <c r="A99">
        <v>81</v>
      </c>
      <c r="B99">
        <v>1.127560462999136</v>
      </c>
      <c r="C99">
        <v>-147.86617430321141</v>
      </c>
      <c r="D99">
        <v>1.096521446666247</v>
      </c>
      <c r="E99">
        <v>94.756941034993531</v>
      </c>
      <c r="F99">
        <v>1.1527612854487941</v>
      </c>
      <c r="G99">
        <v>-24.964350489982039</v>
      </c>
      <c r="H99">
        <v>3.0602261967778679</v>
      </c>
      <c r="J99">
        <v>98</v>
      </c>
      <c r="K99">
        <f t="shared" si="8"/>
        <v>1.133251772327567</v>
      </c>
      <c r="L99">
        <f t="shared" si="6"/>
        <v>1.100426287255702</v>
      </c>
      <c r="M99">
        <f t="shared" si="7"/>
        <v>1.170499524027298</v>
      </c>
    </row>
    <row r="100" spans="1:13" x14ac:dyDescent="0.25">
      <c r="A100">
        <v>82</v>
      </c>
      <c r="B100">
        <v>1.134279243721724</v>
      </c>
      <c r="C100">
        <v>-147.75094156922481</v>
      </c>
      <c r="D100">
        <v>1.101202944659728</v>
      </c>
      <c r="E100">
        <v>95.438543855179802</v>
      </c>
      <c r="F100">
        <v>1.1731675427767521</v>
      </c>
      <c r="G100">
        <v>-24.256271355307561</v>
      </c>
      <c r="H100">
        <v>3.7725716233221052</v>
      </c>
      <c r="J100">
        <v>99</v>
      </c>
      <c r="K100">
        <f t="shared" si="8"/>
        <v>1.1360372333824189</v>
      </c>
      <c r="L100">
        <f t="shared" si="6"/>
        <v>1.101420231330225</v>
      </c>
      <c r="M100">
        <f t="shared" si="7"/>
        <v>1.1793370480924601</v>
      </c>
    </row>
    <row r="101" spans="1:13" x14ac:dyDescent="0.25">
      <c r="A101">
        <v>83</v>
      </c>
      <c r="B101">
        <v>1.1306623305923591</v>
      </c>
      <c r="C101">
        <v>-147.82050287753319</v>
      </c>
      <c r="D101">
        <v>1.0983619661903861</v>
      </c>
      <c r="E101">
        <v>95.186760861141423</v>
      </c>
      <c r="F101">
        <v>1.166558474338135</v>
      </c>
      <c r="G101">
        <v>-24.474467673971091</v>
      </c>
      <c r="H101">
        <v>3.5893355429738341</v>
      </c>
      <c r="J101">
        <v>100</v>
      </c>
      <c r="K101">
        <f t="shared" si="8"/>
        <v>1.1354827939455661</v>
      </c>
      <c r="L101">
        <f t="shared" si="6"/>
        <v>1.101046620953223</v>
      </c>
      <c r="M101">
        <f t="shared" si="7"/>
        <v>1.178880077599225</v>
      </c>
    </row>
    <row r="102" spans="1:13" x14ac:dyDescent="0.25">
      <c r="A102">
        <v>84</v>
      </c>
      <c r="B102">
        <v>1.1343548183387739</v>
      </c>
      <c r="C102">
        <v>-147.74775912509139</v>
      </c>
      <c r="D102">
        <v>1.1013421882260339</v>
      </c>
      <c r="E102">
        <v>95.445424541236804</v>
      </c>
      <c r="F102">
        <v>1.1735311525266829</v>
      </c>
      <c r="G102">
        <v>-24.250226552836828</v>
      </c>
      <c r="H102">
        <v>3.779654588981721</v>
      </c>
      <c r="J102">
        <v>101</v>
      </c>
      <c r="K102">
        <f t="shared" si="8"/>
        <v>1.134928357797329</v>
      </c>
      <c r="L102">
        <f t="shared" si="6"/>
        <v>1.100673044020273</v>
      </c>
      <c r="M102">
        <f t="shared" si="7"/>
        <v>1.1784231204107309</v>
      </c>
    </row>
    <row r="103" spans="1:13" x14ac:dyDescent="0.25">
      <c r="A103">
        <v>85</v>
      </c>
      <c r="B103">
        <v>1.1353397203521689</v>
      </c>
      <c r="C103">
        <v>-147.73624380769999</v>
      </c>
      <c r="D103">
        <v>1.1017381013374179</v>
      </c>
      <c r="E103">
        <v>95.52485421787182</v>
      </c>
      <c r="F103">
        <v>1.1748430564161549</v>
      </c>
      <c r="G103">
        <v>-24.18259787938479</v>
      </c>
      <c r="H103">
        <v>3.837557173211894</v>
      </c>
      <c r="J103">
        <v>102</v>
      </c>
      <c r="K103">
        <f t="shared" si="8"/>
        <v>1.1371669120904351</v>
      </c>
      <c r="L103">
        <f t="shared" si="6"/>
        <v>1.1032253575098889</v>
      </c>
      <c r="M103">
        <f t="shared" si="7"/>
        <v>1.1789829302875701</v>
      </c>
    </row>
    <row r="104" spans="1:13" x14ac:dyDescent="0.25">
      <c r="A104">
        <v>86</v>
      </c>
      <c r="B104">
        <v>1.136444883468432</v>
      </c>
      <c r="C104">
        <v>-147.71440938265749</v>
      </c>
      <c r="D104">
        <v>1.10255114401975</v>
      </c>
      <c r="E104">
        <v>95.609558907466578</v>
      </c>
      <c r="F104">
        <v>1.1766141653998841</v>
      </c>
      <c r="G104">
        <v>-24.11477342131597</v>
      </c>
      <c r="H104">
        <v>3.891148291735949</v>
      </c>
      <c r="J104">
        <v>103</v>
      </c>
      <c r="K104">
        <f t="shared" si="8"/>
        <v>1.1338959274883</v>
      </c>
      <c r="L104">
        <f t="shared" si="6"/>
        <v>1.101100767359132</v>
      </c>
      <c r="M104">
        <f t="shared" si="7"/>
        <v>1.1710703282114361</v>
      </c>
    </row>
    <row r="105" spans="1:13" x14ac:dyDescent="0.25">
      <c r="A105">
        <v>87</v>
      </c>
      <c r="B105">
        <v>1.1349981834948171</v>
      </c>
      <c r="C105">
        <v>-147.74221461823689</v>
      </c>
      <c r="D105">
        <v>1.102018447920563</v>
      </c>
      <c r="E105">
        <v>95.455033691611845</v>
      </c>
      <c r="F105">
        <v>1.174098441852611</v>
      </c>
      <c r="G105">
        <v>-24.242530298529129</v>
      </c>
      <c r="H105">
        <v>3.7776799336150111</v>
      </c>
      <c r="J105">
        <v>104</v>
      </c>
      <c r="K105">
        <f t="shared" si="8"/>
        <v>1.1379842657554859</v>
      </c>
      <c r="L105">
        <f t="shared" si="6"/>
        <v>1.1031791200844181</v>
      </c>
      <c r="M105">
        <f t="shared" si="7"/>
        <v>1.180340387397367</v>
      </c>
    </row>
    <row r="106" spans="1:13" x14ac:dyDescent="0.25">
      <c r="A106">
        <v>88</v>
      </c>
      <c r="B106">
        <v>1.135326521501604</v>
      </c>
      <c r="C106">
        <v>-147.73836798669981</v>
      </c>
      <c r="D106">
        <v>1.101656522039508</v>
      </c>
      <c r="E106">
        <v>95.525298909188322</v>
      </c>
      <c r="F106">
        <v>1.1748152745990541</v>
      </c>
      <c r="G106">
        <v>-24.180926823413909</v>
      </c>
      <c r="H106">
        <v>3.8409014592946269</v>
      </c>
      <c r="J106">
        <v>105</v>
      </c>
      <c r="K106">
        <f t="shared" si="8"/>
        <v>1.1333890002897069</v>
      </c>
      <c r="L106">
        <f t="shared" si="6"/>
        <v>1.100498000524446</v>
      </c>
      <c r="M106">
        <f t="shared" si="7"/>
        <v>1.1706021008616661</v>
      </c>
    </row>
    <row r="107" spans="1:13" x14ac:dyDescent="0.25">
      <c r="A107">
        <v>89</v>
      </c>
      <c r="B107">
        <v>1.1375502130560879</v>
      </c>
      <c r="C107">
        <v>-147.69261735863401</v>
      </c>
      <c r="D107">
        <v>1.103366594579076</v>
      </c>
      <c r="E107">
        <v>95.694138606414484</v>
      </c>
      <c r="F107">
        <v>1.1783869200168591</v>
      </c>
      <c r="G107">
        <v>-24.04715290990443</v>
      </c>
      <c r="H107">
        <v>3.9446492614606918</v>
      </c>
      <c r="J107">
        <v>106</v>
      </c>
      <c r="K107">
        <f t="shared" si="8"/>
        <v>1.1332956476693521</v>
      </c>
      <c r="L107">
        <f t="shared" si="6"/>
        <v>1.1001936462858071</v>
      </c>
      <c r="M107">
        <f t="shared" si="7"/>
        <v>1.1705316297119099</v>
      </c>
    </row>
    <row r="108" spans="1:13" x14ac:dyDescent="0.25">
      <c r="A108">
        <v>9</v>
      </c>
      <c r="B108">
        <v>1.082078705894846</v>
      </c>
      <c r="C108">
        <v>-148.69091992629649</v>
      </c>
      <c r="D108">
        <v>1.063642465375348</v>
      </c>
      <c r="E108">
        <v>92.476927496979684</v>
      </c>
      <c r="F108">
        <v>1.0915373151748879</v>
      </c>
      <c r="G108">
        <v>-27.084865962290131</v>
      </c>
      <c r="H108">
        <v>1.595811056999684</v>
      </c>
      <c r="J108">
        <v>107</v>
      </c>
      <c r="K108">
        <f t="shared" si="8"/>
        <v>1.1340332003443609</v>
      </c>
      <c r="L108">
        <f t="shared" si="6"/>
        <v>1.101172258862831</v>
      </c>
      <c r="M108">
        <f t="shared" si="7"/>
        <v>1.1711729035299741</v>
      </c>
    </row>
    <row r="109" spans="1:13" x14ac:dyDescent="0.25">
      <c r="A109">
        <v>90</v>
      </c>
      <c r="B109">
        <v>1.137375603382579</v>
      </c>
      <c r="C109">
        <v>-147.68823636412469</v>
      </c>
      <c r="D109">
        <v>1.1031062286849029</v>
      </c>
      <c r="E109">
        <v>95.747864282262199</v>
      </c>
      <c r="F109">
        <v>1.1790361636966571</v>
      </c>
      <c r="G109">
        <v>-24.00926854663642</v>
      </c>
      <c r="H109">
        <v>3.991261486940803</v>
      </c>
      <c r="J109">
        <v>108</v>
      </c>
      <c r="K109">
        <f t="shared" si="8"/>
        <v>1.134764140729547</v>
      </c>
      <c r="L109">
        <f t="shared" si="6"/>
        <v>1.100562401247636</v>
      </c>
      <c r="M109">
        <f t="shared" si="7"/>
        <v>1.178287777468864</v>
      </c>
    </row>
    <row r="110" spans="1:13" x14ac:dyDescent="0.25">
      <c r="A110">
        <v>91</v>
      </c>
      <c r="B110">
        <v>1.1374528496573419</v>
      </c>
      <c r="C110">
        <v>-147.68499704163841</v>
      </c>
      <c r="D110">
        <v>1.1032431704959971</v>
      </c>
      <c r="E110">
        <v>95.754774534004582</v>
      </c>
      <c r="F110">
        <v>1.1791341844835981</v>
      </c>
      <c r="G110">
        <v>-24.007428537251389</v>
      </c>
      <c r="H110">
        <v>3.9907089236534539</v>
      </c>
      <c r="J110">
        <v>109</v>
      </c>
      <c r="K110">
        <f t="shared" si="8"/>
        <v>1.1359340080774669</v>
      </c>
      <c r="L110">
        <f t="shared" si="6"/>
        <v>1.101245391953757</v>
      </c>
      <c r="M110">
        <f t="shared" si="7"/>
        <v>1.179467126275076</v>
      </c>
    </row>
    <row r="111" spans="1:13" x14ac:dyDescent="0.25">
      <c r="A111">
        <v>92</v>
      </c>
      <c r="B111">
        <v>1.1369402117427621</v>
      </c>
      <c r="C111">
        <v>-147.69479459677879</v>
      </c>
      <c r="D111">
        <v>1.1023841860188739</v>
      </c>
      <c r="E111">
        <v>95.778289129760552</v>
      </c>
      <c r="F111">
        <v>1.1793549086749251</v>
      </c>
      <c r="G111">
        <v>-23.977626370191459</v>
      </c>
      <c r="H111">
        <v>4.0397909940944077</v>
      </c>
      <c r="J111">
        <v>110</v>
      </c>
      <c r="K111">
        <f t="shared" si="8"/>
        <v>1.134476860943936</v>
      </c>
      <c r="L111">
        <f t="shared" si="6"/>
        <v>1.100546568345089</v>
      </c>
      <c r="M111">
        <f t="shared" si="7"/>
        <v>1.178135161476495</v>
      </c>
    </row>
    <row r="112" spans="1:13" x14ac:dyDescent="0.25">
      <c r="A112">
        <v>93</v>
      </c>
      <c r="B112">
        <v>1.138097749488836</v>
      </c>
      <c r="C112">
        <v>-147.67946355228071</v>
      </c>
      <c r="D112">
        <v>1.103916341040478</v>
      </c>
      <c r="E112">
        <v>95.764493098080308</v>
      </c>
      <c r="F112">
        <v>1.179697411176478</v>
      </c>
      <c r="G112">
        <v>-23.999947033668221</v>
      </c>
      <c r="H112">
        <v>3.9886625255518302</v>
      </c>
      <c r="J112">
        <v>111</v>
      </c>
      <c r="K112">
        <f t="shared" si="8"/>
        <v>1.1379293474164709</v>
      </c>
      <c r="L112">
        <f t="shared" si="6"/>
        <v>1.103685753509386</v>
      </c>
      <c r="M112">
        <f t="shared" si="7"/>
        <v>1.1787200249721641</v>
      </c>
    </row>
    <row r="113" spans="1:13" x14ac:dyDescent="0.25">
      <c r="A113">
        <v>94</v>
      </c>
      <c r="B113">
        <v>1.137078714942793</v>
      </c>
      <c r="C113">
        <v>-147.6934972900028</v>
      </c>
      <c r="D113">
        <v>1.1024558973426879</v>
      </c>
      <c r="E113">
        <v>95.783386936084071</v>
      </c>
      <c r="F113">
        <v>1.1794546766160869</v>
      </c>
      <c r="G113">
        <v>-23.972391487815379</v>
      </c>
      <c r="H113">
        <v>4.0426173700250541</v>
      </c>
      <c r="J113">
        <v>112</v>
      </c>
      <c r="K113">
        <f t="shared" si="8"/>
        <v>1.138573822542255</v>
      </c>
      <c r="L113">
        <f t="shared" si="6"/>
        <v>1.104358173843109</v>
      </c>
      <c r="M113">
        <f t="shared" si="7"/>
        <v>1.1792840502280679</v>
      </c>
    </row>
    <row r="114" spans="1:13" x14ac:dyDescent="0.25">
      <c r="A114">
        <v>95</v>
      </c>
      <c r="B114">
        <v>1.134062737277729</v>
      </c>
      <c r="C114">
        <v>-147.74495489135299</v>
      </c>
      <c r="D114">
        <v>1.1013292795569889</v>
      </c>
      <c r="E114">
        <v>95.454868122509069</v>
      </c>
      <c r="F114">
        <v>1.174475441686055</v>
      </c>
      <c r="G114">
        <v>-24.252520801116631</v>
      </c>
      <c r="H114">
        <v>3.8031955343856101</v>
      </c>
      <c r="J114">
        <v>113</v>
      </c>
      <c r="K114">
        <f t="shared" si="8"/>
        <v>1.1358407237461341</v>
      </c>
      <c r="L114">
        <f t="shared" si="6"/>
        <v>1.100947311933675</v>
      </c>
      <c r="M114">
        <f t="shared" si="7"/>
        <v>1.1804817004035271</v>
      </c>
    </row>
    <row r="115" spans="1:13" x14ac:dyDescent="0.25">
      <c r="A115">
        <v>96</v>
      </c>
      <c r="B115">
        <v>1.136727634098079</v>
      </c>
      <c r="C115">
        <v>-147.6904957841698</v>
      </c>
      <c r="D115">
        <v>1.1021041474603539</v>
      </c>
      <c r="E115">
        <v>95.790479693140085</v>
      </c>
      <c r="F115">
        <v>1.1790571939551731</v>
      </c>
      <c r="G115">
        <v>-23.96715165722437</v>
      </c>
      <c r="H115">
        <v>4.0439373977539228</v>
      </c>
      <c r="J115">
        <v>114</v>
      </c>
      <c r="K115">
        <f t="shared" si="8"/>
        <v>1.134412081168114</v>
      </c>
      <c r="L115">
        <f t="shared" si="6"/>
        <v>1.100210943741611</v>
      </c>
      <c r="M115">
        <f t="shared" si="7"/>
        <v>1.17788931368469</v>
      </c>
    </row>
    <row r="116" spans="1:13" x14ac:dyDescent="0.25">
      <c r="A116">
        <v>97</v>
      </c>
      <c r="B116">
        <v>1.126676155870924</v>
      </c>
      <c r="C116">
        <v>-147.88341506449311</v>
      </c>
      <c r="D116">
        <v>1.0960570871320929</v>
      </c>
      <c r="E116">
        <v>94.902020818053288</v>
      </c>
      <c r="F116">
        <v>1.15908229051253</v>
      </c>
      <c r="G116">
        <v>-24.75358985886804</v>
      </c>
      <c r="H116">
        <v>3.3383565529850499</v>
      </c>
      <c r="J116">
        <v>115</v>
      </c>
      <c r="K116">
        <f t="shared" si="8"/>
        <v>1.138834279867343</v>
      </c>
      <c r="L116">
        <f t="shared" si="6"/>
        <v>1.10440686846818</v>
      </c>
      <c r="M116">
        <f t="shared" si="7"/>
        <v>1.179607454205184</v>
      </c>
    </row>
    <row r="117" spans="1:13" x14ac:dyDescent="0.25">
      <c r="A117">
        <v>98</v>
      </c>
      <c r="B117">
        <v>1.133251772327567</v>
      </c>
      <c r="C117">
        <v>-147.7715862106908</v>
      </c>
      <c r="D117">
        <v>1.100426287255702</v>
      </c>
      <c r="E117">
        <v>95.338481634208151</v>
      </c>
      <c r="F117">
        <v>1.170499524027298</v>
      </c>
      <c r="G117">
        <v>-24.341690187815061</v>
      </c>
      <c r="H117">
        <v>3.686018481528524</v>
      </c>
      <c r="J117">
        <v>116</v>
      </c>
      <c r="K117">
        <f t="shared" si="8"/>
        <v>1.135581423017697</v>
      </c>
      <c r="L117">
        <f t="shared" si="6"/>
        <v>1.100895936068734</v>
      </c>
      <c r="M117">
        <f t="shared" si="7"/>
        <v>1.1790682491772171</v>
      </c>
    </row>
    <row r="118" spans="1:13" x14ac:dyDescent="0.25">
      <c r="A118">
        <v>99</v>
      </c>
      <c r="B118">
        <v>1.1360372333824189</v>
      </c>
      <c r="C118">
        <v>-147.7057445399204</v>
      </c>
      <c r="D118">
        <v>1.101420231330225</v>
      </c>
      <c r="E118">
        <v>95.791533063118862</v>
      </c>
      <c r="F118">
        <v>1.1793370480924601</v>
      </c>
      <c r="G118">
        <v>-23.963668132006731</v>
      </c>
      <c r="H118">
        <v>4.0788304476482917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8"/>
  <sheetViews>
    <sheetView workbookViewId="0"/>
  </sheetViews>
  <sheetFormatPr defaultRowHeight="15" x14ac:dyDescent="0.25"/>
  <sheetData>
    <row r="1" spans="1:6" x14ac:dyDescent="0.25">
      <c r="A1" t="s">
        <v>392</v>
      </c>
      <c r="B1" t="s">
        <v>527</v>
      </c>
      <c r="C1" t="s">
        <v>528</v>
      </c>
      <c r="D1" t="s">
        <v>529</v>
      </c>
      <c r="E1" t="s">
        <v>530</v>
      </c>
      <c r="F1" t="s">
        <v>531</v>
      </c>
    </row>
    <row r="2" spans="1:6" x14ac:dyDescent="0.25">
      <c r="A2" t="s">
        <v>411</v>
      </c>
      <c r="B2">
        <v>5.1440346786323872E-14</v>
      </c>
      <c r="C2">
        <v>1.049999952316284</v>
      </c>
      <c r="D2">
        <v>2.994395039820135E-6</v>
      </c>
      <c r="E2">
        <v>4.8990808687988259E-14</v>
      </c>
      <c r="F2">
        <v>2.8518049293378962E-6</v>
      </c>
    </row>
    <row r="3" spans="1:6" x14ac:dyDescent="0.25">
      <c r="A3" t="s">
        <v>412</v>
      </c>
      <c r="B3">
        <v>3.8101546681750637E-4</v>
      </c>
      <c r="C3">
        <v>1.0483282025542291</v>
      </c>
      <c r="D3">
        <v>5.4049593075505423E-3</v>
      </c>
      <c r="E3">
        <v>3.6345055478729903E-4</v>
      </c>
      <c r="F3">
        <v>5.1557892789505008E-3</v>
      </c>
    </row>
    <row r="4" spans="1:6" x14ac:dyDescent="0.25">
      <c r="A4" t="s">
        <v>413</v>
      </c>
      <c r="B4">
        <v>8.1863956812096175E-4</v>
      </c>
      <c r="C4">
        <v>1.0663376724164439</v>
      </c>
      <c r="D4">
        <v>1.175636241970493E-2</v>
      </c>
      <c r="E4">
        <v>7.67711381954489E-4</v>
      </c>
      <c r="F4">
        <v>1.102499022946799E-2</v>
      </c>
    </row>
    <row r="5" spans="1:6" x14ac:dyDescent="0.25">
      <c r="A5" t="s">
        <v>414</v>
      </c>
      <c r="B5">
        <v>3.862176085904015E-3</v>
      </c>
      <c r="C5">
        <v>1.1379619199239519</v>
      </c>
      <c r="D5">
        <v>4.6426757428288792E-2</v>
      </c>
      <c r="E5">
        <v>3.3939414125229409E-3</v>
      </c>
      <c r="F5">
        <v>4.0798164345773033E-2</v>
      </c>
    </row>
    <row r="6" spans="1:6" x14ac:dyDescent="0.25">
      <c r="A6" t="s">
        <v>400</v>
      </c>
      <c r="B6">
        <v>3.8391931659764369E-3</v>
      </c>
      <c r="C6">
        <v>1.137499603772294</v>
      </c>
      <c r="D6">
        <v>4.6419514305520652E-2</v>
      </c>
      <c r="E6">
        <v>3.3751160468491639E-3</v>
      </c>
      <c r="F6">
        <v>4.080837843949961E-2</v>
      </c>
    </row>
    <row r="7" spans="1:6" x14ac:dyDescent="0.25">
      <c r="A7" t="s">
        <v>415</v>
      </c>
      <c r="B7">
        <v>3.724126222203813E-3</v>
      </c>
      <c r="C7">
        <v>1.1393015520283261</v>
      </c>
      <c r="D7">
        <v>4.542333689771632E-2</v>
      </c>
      <c r="E7">
        <v>3.2687800833534029E-3</v>
      </c>
      <c r="F7">
        <v>3.9869459333964803E-2</v>
      </c>
    </row>
    <row r="8" spans="1:6" x14ac:dyDescent="0.25">
      <c r="A8" t="s">
        <v>416</v>
      </c>
      <c r="B8">
        <v>3.465591992122926E-3</v>
      </c>
      <c r="C8">
        <v>1.134940197123965</v>
      </c>
      <c r="D8">
        <v>4.1812293821087781E-2</v>
      </c>
      <c r="E8">
        <v>3.0535459056829882E-3</v>
      </c>
      <c r="F8">
        <v>3.6840966534662969E-2</v>
      </c>
    </row>
    <row r="9" spans="1:6" x14ac:dyDescent="0.25">
      <c r="A9" t="s">
        <v>417</v>
      </c>
      <c r="B9">
        <v>3.8045552767667751E-3</v>
      </c>
      <c r="C9">
        <v>1.1399949951337589</v>
      </c>
      <c r="D9">
        <v>4.6211829315408709E-2</v>
      </c>
      <c r="E9">
        <v>3.3373438418651791E-3</v>
      </c>
      <c r="F9">
        <v>4.0536870348265461E-2</v>
      </c>
    </row>
    <row r="10" spans="1:6" x14ac:dyDescent="0.25">
      <c r="A10" t="s">
        <v>418</v>
      </c>
      <c r="B10">
        <v>3.4508496796791552E-3</v>
      </c>
      <c r="C10">
        <v>1.134414137562564</v>
      </c>
      <c r="D10">
        <v>4.1847827827994809E-2</v>
      </c>
      <c r="E10">
        <v>3.041966390769557E-3</v>
      </c>
      <c r="F10">
        <v>3.6889374384834688E-2</v>
      </c>
    </row>
    <row r="11" spans="1:6" x14ac:dyDescent="0.25">
      <c r="A11" t="s">
        <v>419</v>
      </c>
      <c r="B11">
        <v>3.4463526171657128E-3</v>
      </c>
      <c r="C11">
        <v>1.1342544963843459</v>
      </c>
      <c r="D11">
        <v>4.2007780099131302E-2</v>
      </c>
      <c r="E11">
        <v>3.0384297599450778E-3</v>
      </c>
      <c r="F11">
        <v>3.7035586134363287E-2</v>
      </c>
    </row>
    <row r="12" spans="1:6" x14ac:dyDescent="0.25">
      <c r="A12" t="s">
        <v>420</v>
      </c>
      <c r="B12">
        <v>3.461131616406459E-3</v>
      </c>
      <c r="C12">
        <v>1.135042966113446</v>
      </c>
      <c r="D12">
        <v>4.1849213724786338E-2</v>
      </c>
      <c r="E12">
        <v>3.049339734034812E-3</v>
      </c>
      <c r="F12">
        <v>3.6870158200340383E-2</v>
      </c>
    </row>
    <row r="13" spans="1:6" x14ac:dyDescent="0.25">
      <c r="A13" t="s">
        <v>421</v>
      </c>
      <c r="B13">
        <v>3.832516365025461E-3</v>
      </c>
      <c r="C13">
        <v>1.137362671361329</v>
      </c>
      <c r="D13">
        <v>4.6417444617817057E-2</v>
      </c>
      <c r="E13">
        <v>3.3696519690049769E-3</v>
      </c>
      <c r="F13">
        <v>4.081147182565719E-2</v>
      </c>
    </row>
    <row r="14" spans="1:6" x14ac:dyDescent="0.25">
      <c r="A14" t="s">
        <v>422</v>
      </c>
      <c r="B14">
        <v>3.9206236266623963E-3</v>
      </c>
      <c r="C14">
        <v>1.138373158788327</v>
      </c>
      <c r="D14">
        <v>4.6560806665072278E-2</v>
      </c>
      <c r="E14">
        <v>3.4440583884070759E-3</v>
      </c>
      <c r="F14">
        <v>4.0901181045617019E-2</v>
      </c>
    </row>
    <row r="15" spans="1:6" x14ac:dyDescent="0.25">
      <c r="A15" t="s">
        <v>423</v>
      </c>
      <c r="B15">
        <v>1.205064264667389E-3</v>
      </c>
      <c r="C15">
        <v>1.0788459157165451</v>
      </c>
      <c r="D15">
        <v>1.738910460436318E-2</v>
      </c>
      <c r="E15">
        <v>1.1169938608582609E-3</v>
      </c>
      <c r="F15">
        <v>1.611824668475826E-2</v>
      </c>
    </row>
    <row r="16" spans="1:6" x14ac:dyDescent="0.25">
      <c r="A16" t="s">
        <v>424</v>
      </c>
      <c r="B16">
        <v>3.8275218848539869E-3</v>
      </c>
      <c r="C16">
        <v>1.1372112856377441</v>
      </c>
      <c r="D16">
        <v>4.636982317454328E-2</v>
      </c>
      <c r="E16">
        <v>3.3657086710210818E-3</v>
      </c>
      <c r="F16">
        <v>4.0775029020697108E-2</v>
      </c>
    </row>
    <row r="17" spans="1:6" x14ac:dyDescent="0.25">
      <c r="A17" t="s">
        <v>425</v>
      </c>
      <c r="B17">
        <v>3.6841890417532229E-3</v>
      </c>
      <c r="C17">
        <v>1.139631029799989</v>
      </c>
      <c r="D17">
        <v>4.4977651806203479E-2</v>
      </c>
      <c r="E17">
        <v>3.2327910923940161E-3</v>
      </c>
      <c r="F17">
        <v>3.9466854297655701E-2</v>
      </c>
    </row>
    <row r="18" spans="1:6" x14ac:dyDescent="0.25">
      <c r="A18" t="s">
        <v>426</v>
      </c>
      <c r="B18">
        <v>3.696601169063602E-3</v>
      </c>
      <c r="C18">
        <v>1.140256957823089</v>
      </c>
      <c r="D18">
        <v>4.4979300655518063E-2</v>
      </c>
      <c r="E18">
        <v>3.2419018745747752E-3</v>
      </c>
      <c r="F18">
        <v>3.9446635556067887E-2</v>
      </c>
    </row>
    <row r="19" spans="1:6" x14ac:dyDescent="0.25">
      <c r="A19" t="s">
        <v>427</v>
      </c>
      <c r="B19">
        <v>4.0077943241172212E-3</v>
      </c>
      <c r="C19">
        <v>1.138576292311495</v>
      </c>
      <c r="D19">
        <v>4.7046327785577768E-2</v>
      </c>
      <c r="E19">
        <v>3.5200050722826379E-3</v>
      </c>
      <c r="F19">
        <v>4.1320312133028947E-2</v>
      </c>
    </row>
    <row r="20" spans="1:6" x14ac:dyDescent="0.25">
      <c r="A20" t="s">
        <v>428</v>
      </c>
      <c r="B20">
        <v>3.827522080375673E-3</v>
      </c>
      <c r="C20">
        <v>1.1369946340042769</v>
      </c>
      <c r="D20">
        <v>4.6417607586561653E-2</v>
      </c>
      <c r="E20">
        <v>3.3663501707970902E-3</v>
      </c>
      <c r="F20">
        <v>4.0824825551803813E-2</v>
      </c>
    </row>
    <row r="21" spans="1:6" x14ac:dyDescent="0.25">
      <c r="A21" t="s">
        <v>429</v>
      </c>
      <c r="B21">
        <v>3.6966923493489752E-3</v>
      </c>
      <c r="C21">
        <v>1.1404646068970989</v>
      </c>
      <c r="D21">
        <v>4.5137710690940552E-2</v>
      </c>
      <c r="E21">
        <v>3.241391558311216E-3</v>
      </c>
      <c r="F21">
        <v>3.9578352908073378E-2</v>
      </c>
    </row>
    <row r="22" spans="1:6" x14ac:dyDescent="0.25">
      <c r="A22" t="s">
        <v>430</v>
      </c>
      <c r="B22">
        <v>3.9155145092295562E-3</v>
      </c>
      <c r="C22">
        <v>1.138005447774509</v>
      </c>
      <c r="D22">
        <v>4.6560982658518588E-2</v>
      </c>
      <c r="E22">
        <v>3.4406816917148882E-3</v>
      </c>
      <c r="F22">
        <v>4.09145516390748E-2</v>
      </c>
    </row>
    <row r="23" spans="1:6" x14ac:dyDescent="0.25">
      <c r="A23" t="s">
        <v>431</v>
      </c>
      <c r="B23">
        <v>1.2050642834898521E-3</v>
      </c>
      <c r="C23">
        <v>1.0786223202993139</v>
      </c>
      <c r="D23">
        <v>1.7219048835918439E-2</v>
      </c>
      <c r="E23">
        <v>1.117225428039956E-3</v>
      </c>
      <c r="F23">
        <v>1.5963927791833761E-2</v>
      </c>
    </row>
    <row r="24" spans="1:6" x14ac:dyDescent="0.25">
      <c r="A24" t="s">
        <v>432</v>
      </c>
      <c r="B24">
        <v>1.0721690755307451E-3</v>
      </c>
      <c r="C24">
        <v>1.075859947864382</v>
      </c>
      <c r="D24">
        <v>1.497311103805231E-2</v>
      </c>
      <c r="E24">
        <v>9.9656937472115872E-4</v>
      </c>
      <c r="F24">
        <v>1.3917342185453071E-2</v>
      </c>
    </row>
    <row r="25" spans="1:6" x14ac:dyDescent="0.25">
      <c r="A25" t="s">
        <v>433</v>
      </c>
      <c r="B25">
        <v>1.4696664862385821E-3</v>
      </c>
      <c r="C25">
        <v>1.0870512402407939</v>
      </c>
      <c r="D25">
        <v>2.0450825093088949E-2</v>
      </c>
      <c r="E25">
        <v>1.351975354825992E-3</v>
      </c>
      <c r="F25">
        <v>1.881311969117376E-2</v>
      </c>
    </row>
    <row r="26" spans="1:6" x14ac:dyDescent="0.25">
      <c r="A26" t="s">
        <v>434</v>
      </c>
      <c r="B26">
        <v>1.648956475683145E-3</v>
      </c>
      <c r="C26">
        <v>1.094091472435738</v>
      </c>
      <c r="D26">
        <v>2.3173807623728969E-2</v>
      </c>
      <c r="E26">
        <v>1.5071468128822259E-3</v>
      </c>
      <c r="F26">
        <v>2.118086851745395E-2</v>
      </c>
    </row>
    <row r="27" spans="1:6" x14ac:dyDescent="0.25">
      <c r="A27" t="s">
        <v>435</v>
      </c>
      <c r="B27">
        <v>1.644932390411521E-3</v>
      </c>
      <c r="C27">
        <v>1.09424425783007</v>
      </c>
      <c r="D27">
        <v>2.3217428372815849E-2</v>
      </c>
      <c r="E27">
        <v>1.503258873547565E-3</v>
      </c>
      <c r="F27">
        <v>2.1217774922444591E-2</v>
      </c>
    </row>
    <row r="28" spans="1:6" x14ac:dyDescent="0.25">
      <c r="A28" t="s">
        <v>436</v>
      </c>
      <c r="B28">
        <v>1.6402377099321889E-3</v>
      </c>
      <c r="C28">
        <v>1.094197213315897</v>
      </c>
      <c r="D28">
        <v>2.3260855245971459E-2</v>
      </c>
      <c r="E28">
        <v>1.499032980500426E-3</v>
      </c>
      <c r="F28">
        <v>2.1258375513021909E-2</v>
      </c>
    </row>
    <row r="29" spans="1:6" x14ac:dyDescent="0.25">
      <c r="A29" t="s">
        <v>437</v>
      </c>
      <c r="B29">
        <v>1.639619240069912E-3</v>
      </c>
      <c r="C29">
        <v>1.0943399088919701</v>
      </c>
      <c r="D29">
        <v>2.331403793494103E-2</v>
      </c>
      <c r="E29">
        <v>1.498272361948348E-3</v>
      </c>
      <c r="F29">
        <v>2.1304201505861851E-2</v>
      </c>
    </row>
    <row r="30" spans="1:6" x14ac:dyDescent="0.25">
      <c r="A30" t="s">
        <v>438</v>
      </c>
      <c r="B30">
        <v>1.509441929571241E-3</v>
      </c>
      <c r="C30">
        <v>1.087350233037192</v>
      </c>
      <c r="D30">
        <v>2.0723400455230499E-2</v>
      </c>
      <c r="E30">
        <v>1.3881837550676381E-3</v>
      </c>
      <c r="F30">
        <v>1.9058625110463068E-2</v>
      </c>
    </row>
    <row r="31" spans="1:6" x14ac:dyDescent="0.25">
      <c r="A31" t="s">
        <v>439</v>
      </c>
      <c r="B31">
        <v>8.1806812649083595E-4</v>
      </c>
      <c r="C31">
        <v>1.0665100715891651</v>
      </c>
      <c r="D31">
        <v>1.167017041284751E-2</v>
      </c>
      <c r="E31">
        <v>7.6705147779042001E-4</v>
      </c>
      <c r="F31">
        <v>1.0942391191353909E-2</v>
      </c>
    </row>
    <row r="32" spans="1:6" x14ac:dyDescent="0.25">
      <c r="A32" t="s">
        <v>440</v>
      </c>
      <c r="B32">
        <v>1.5047129193702391E-3</v>
      </c>
      <c r="C32">
        <v>1.087659294286841</v>
      </c>
      <c r="D32">
        <v>2.0874004765660609E-2</v>
      </c>
      <c r="E32">
        <v>1.383441420740907E-3</v>
      </c>
      <c r="F32">
        <v>1.9191675992018559E-2</v>
      </c>
    </row>
    <row r="33" spans="1:6" x14ac:dyDescent="0.25">
      <c r="A33" t="s">
        <v>441</v>
      </c>
      <c r="B33">
        <v>1.6010491985535441E-3</v>
      </c>
      <c r="C33">
        <v>1.087353544530856</v>
      </c>
      <c r="D33">
        <v>2.1037654896514719E-2</v>
      </c>
      <c r="E33">
        <v>1.472427442395771E-3</v>
      </c>
      <c r="F33">
        <v>1.9347575590597379E-2</v>
      </c>
    </row>
    <row r="34" spans="1:6" x14ac:dyDescent="0.25">
      <c r="A34" t="s">
        <v>442</v>
      </c>
      <c r="B34">
        <v>1.5034808952610051E-3</v>
      </c>
      <c r="C34">
        <v>1.087881838106469</v>
      </c>
      <c r="D34">
        <v>2.0916589000527331E-2</v>
      </c>
      <c r="E34">
        <v>1.3820259173348401E-3</v>
      </c>
      <c r="F34">
        <v>1.922689419738274E-2</v>
      </c>
    </row>
    <row r="35" spans="1:6" x14ac:dyDescent="0.25">
      <c r="A35" t="s">
        <v>443</v>
      </c>
      <c r="B35">
        <v>1.5017401549087749E-3</v>
      </c>
      <c r="C35">
        <v>1.087745844454594</v>
      </c>
      <c r="D35">
        <v>2.0982090612848951E-2</v>
      </c>
      <c r="E35">
        <v>1.3805983838639821E-3</v>
      </c>
      <c r="F35">
        <v>1.9289515763095899E-2</v>
      </c>
    </row>
    <row r="36" spans="1:6" x14ac:dyDescent="0.25">
      <c r="A36" t="s">
        <v>444</v>
      </c>
      <c r="B36">
        <v>1.4982214135579189E-3</v>
      </c>
      <c r="C36">
        <v>1.087631347509999</v>
      </c>
      <c r="D36">
        <v>2.1090063576199549E-2</v>
      </c>
      <c r="E36">
        <v>1.377508488503863E-3</v>
      </c>
      <c r="F36">
        <v>1.9390819899116288E-2</v>
      </c>
    </row>
    <row r="37" spans="1:6" x14ac:dyDescent="0.25">
      <c r="A37" t="s">
        <v>445</v>
      </c>
      <c r="B37">
        <v>1.5015215715747229E-3</v>
      </c>
      <c r="C37">
        <v>1.08771827568262</v>
      </c>
      <c r="D37">
        <v>2.108524028604367E-2</v>
      </c>
      <c r="E37">
        <v>1.3804324199962639E-3</v>
      </c>
      <c r="F37">
        <v>1.9384835905980519E-2</v>
      </c>
    </row>
    <row r="38" spans="1:6" x14ac:dyDescent="0.25">
      <c r="A38" t="s">
        <v>446</v>
      </c>
      <c r="B38">
        <v>1.511643826844673E-3</v>
      </c>
      <c r="C38">
        <v>1.088401688589884</v>
      </c>
      <c r="D38">
        <v>2.0982889055654829E-2</v>
      </c>
      <c r="E38">
        <v>1.3888657493752469E-3</v>
      </c>
      <c r="F38">
        <v>1.9278625966521541E-2</v>
      </c>
    </row>
    <row r="39" spans="1:6" x14ac:dyDescent="0.25">
      <c r="A39" t="s">
        <v>447</v>
      </c>
      <c r="B39">
        <v>1.4947441202467699E-3</v>
      </c>
      <c r="C39">
        <v>1.0875168512283999</v>
      </c>
      <c r="D39">
        <v>2.1198105016736229E-2</v>
      </c>
      <c r="E39">
        <v>1.37445605422885E-3</v>
      </c>
      <c r="F39">
        <v>1.9492208320994742E-2</v>
      </c>
    </row>
    <row r="40" spans="1:6" x14ac:dyDescent="0.25">
      <c r="A40" t="s">
        <v>448</v>
      </c>
      <c r="B40">
        <v>1.8413362202655569E-3</v>
      </c>
      <c r="C40">
        <v>1.1008019697432949</v>
      </c>
      <c r="D40">
        <v>2.5808482811778059E-2</v>
      </c>
      <c r="E40">
        <v>1.6727224976668181E-3</v>
      </c>
      <c r="F40">
        <v>2.344516409050082E-2</v>
      </c>
    </row>
    <row r="41" spans="1:6" x14ac:dyDescent="0.25">
      <c r="A41" t="s">
        <v>449</v>
      </c>
      <c r="B41">
        <v>1.4927961824637E-3</v>
      </c>
      <c r="C41">
        <v>1.08735318607929</v>
      </c>
      <c r="D41">
        <v>2.1366966332683202E-2</v>
      </c>
      <c r="E41">
        <v>1.372871484238099E-3</v>
      </c>
      <c r="F41">
        <v>1.9650437968298851E-2</v>
      </c>
    </row>
    <row r="42" spans="1:6" x14ac:dyDescent="0.25">
      <c r="A42" t="s">
        <v>450</v>
      </c>
      <c r="B42">
        <v>8.1970780037143886E-4</v>
      </c>
      <c r="C42">
        <v>1.0667300900561021</v>
      </c>
      <c r="D42">
        <v>1.1756313928589441E-2</v>
      </c>
      <c r="E42">
        <v>7.6843037241813297E-4</v>
      </c>
      <c r="F42">
        <v>1.102088901230034E-2</v>
      </c>
    </row>
    <row r="43" spans="1:6" x14ac:dyDescent="0.25">
      <c r="A43" t="s">
        <v>451</v>
      </c>
      <c r="B43">
        <v>1.4927961824637E-3</v>
      </c>
      <c r="C43">
        <v>1.08735318607929</v>
      </c>
      <c r="D43">
        <v>2.1366966332683202E-2</v>
      </c>
      <c r="E43">
        <v>1.372871484238099E-3</v>
      </c>
      <c r="F43">
        <v>1.9650437968298851E-2</v>
      </c>
    </row>
    <row r="44" spans="1:6" x14ac:dyDescent="0.25">
      <c r="A44" t="s">
        <v>452</v>
      </c>
      <c r="B44">
        <v>1.636430814374306E-3</v>
      </c>
      <c r="C44">
        <v>1.09400748470228</v>
      </c>
      <c r="D44">
        <v>2.325119781241182E-2</v>
      </c>
      <c r="E44">
        <v>1.4958131797605011E-3</v>
      </c>
      <c r="F44">
        <v>2.1253234678498861E-2</v>
      </c>
    </row>
    <row r="45" spans="1:6" x14ac:dyDescent="0.25">
      <c r="A45" t="s">
        <v>453</v>
      </c>
      <c r="B45">
        <v>2.031485029877243E-3</v>
      </c>
      <c r="C45">
        <v>1.106892307379195</v>
      </c>
      <c r="D45">
        <v>2.8468738461515011E-2</v>
      </c>
      <c r="E45">
        <v>1.8353050394642439E-3</v>
      </c>
      <c r="F45">
        <v>2.571951966033701E-2</v>
      </c>
    </row>
    <row r="46" spans="1:6" x14ac:dyDescent="0.25">
      <c r="A46" t="s">
        <v>454</v>
      </c>
      <c r="B46">
        <v>1.513084363863455E-3</v>
      </c>
      <c r="C46">
        <v>1.0887630528088019</v>
      </c>
      <c r="D46">
        <v>2.084425886732312E-2</v>
      </c>
      <c r="E46">
        <v>1.389727875096408E-3</v>
      </c>
      <c r="F46">
        <v>1.914489917117309E-2</v>
      </c>
    </row>
    <row r="47" spans="1:6" x14ac:dyDescent="0.25">
      <c r="A47" t="s">
        <v>455</v>
      </c>
      <c r="B47">
        <v>1.634298233331787E-3</v>
      </c>
      <c r="C47">
        <v>1.093849520912002</v>
      </c>
      <c r="D47">
        <v>2.3183194451839279E-2</v>
      </c>
      <c r="E47">
        <v>1.4940795804976759E-3</v>
      </c>
      <c r="F47">
        <v>2.1194135032861001E-2</v>
      </c>
    </row>
    <row r="48" spans="1:6" x14ac:dyDescent="0.25">
      <c r="A48" t="s">
        <v>456</v>
      </c>
      <c r="B48">
        <v>2.2202051522919289E-3</v>
      </c>
      <c r="C48">
        <v>1.112542881208558</v>
      </c>
      <c r="D48">
        <v>3.1131312664661459E-2</v>
      </c>
      <c r="E48">
        <v>1.9956131038114358E-3</v>
      </c>
      <c r="F48">
        <v>2.7982123826852799E-2</v>
      </c>
    </row>
    <row r="49" spans="1:6" x14ac:dyDescent="0.25">
      <c r="A49" t="s">
        <v>457</v>
      </c>
      <c r="B49">
        <v>1.6391445503758689E-3</v>
      </c>
      <c r="C49">
        <v>1.0944826155732521</v>
      </c>
      <c r="D49">
        <v>2.336724002598493E-2</v>
      </c>
      <c r="E49">
        <v>1.4976432946971409E-3</v>
      </c>
      <c r="F49">
        <v>2.1350033059909301E-2</v>
      </c>
    </row>
    <row r="50" spans="1:6" x14ac:dyDescent="0.25">
      <c r="A50" t="s">
        <v>458</v>
      </c>
      <c r="B50">
        <v>1.6569624633034059E-3</v>
      </c>
      <c r="C50">
        <v>1.0948962014927039</v>
      </c>
      <c r="D50">
        <v>2.3218398742376311E-2</v>
      </c>
      <c r="E50">
        <v>1.5133511843811499E-3</v>
      </c>
      <c r="F50">
        <v>2.1206027302608212E-2</v>
      </c>
    </row>
    <row r="51" spans="1:6" x14ac:dyDescent="0.25">
      <c r="A51" t="s">
        <v>459</v>
      </c>
      <c r="B51">
        <v>2.2234113031748492E-3</v>
      </c>
      <c r="C51">
        <v>1.114174346630074</v>
      </c>
      <c r="D51">
        <v>3.2183260032433422E-2</v>
      </c>
      <c r="E51">
        <v>1.9955685659966658E-3</v>
      </c>
      <c r="F51">
        <v>2.8885299800497779E-2</v>
      </c>
    </row>
    <row r="52" spans="1:6" x14ac:dyDescent="0.25">
      <c r="A52" t="s">
        <v>460</v>
      </c>
      <c r="B52">
        <v>1.634298274103474E-3</v>
      </c>
      <c r="C52">
        <v>1.0936248565669919</v>
      </c>
      <c r="D52">
        <v>2.3251311457723418E-2</v>
      </c>
      <c r="E52">
        <v>1.494386547900634E-3</v>
      </c>
      <c r="F52">
        <v>2.1260774495115101E-2</v>
      </c>
    </row>
    <row r="53" spans="1:6" x14ac:dyDescent="0.25">
      <c r="A53" t="s">
        <v>461</v>
      </c>
      <c r="B53">
        <v>1.059612207276042E-3</v>
      </c>
      <c r="C53">
        <v>1.0748318319419621</v>
      </c>
      <c r="D53">
        <v>1.498422382506681E-2</v>
      </c>
      <c r="E53">
        <v>9.8583999448693081E-4</v>
      </c>
      <c r="F53">
        <v>1.3940993725496511E-2</v>
      </c>
    </row>
    <row r="54" spans="1:6" x14ac:dyDescent="0.25">
      <c r="A54" t="s">
        <v>462</v>
      </c>
      <c r="B54">
        <v>1.6519312753512519E-3</v>
      </c>
      <c r="C54">
        <v>1.095353543297239</v>
      </c>
      <c r="D54">
        <v>2.3535348820639901E-2</v>
      </c>
      <c r="E54">
        <v>1.5081261072827691E-3</v>
      </c>
      <c r="F54">
        <v>2.1486531873347189E-2</v>
      </c>
    </row>
    <row r="55" spans="1:6" x14ac:dyDescent="0.25">
      <c r="A55" t="s">
        <v>463</v>
      </c>
      <c r="B55">
        <v>2.1487488790957821E-3</v>
      </c>
      <c r="C55">
        <v>1.11597821943562</v>
      </c>
      <c r="D55">
        <v>3.2797339839743082E-2</v>
      </c>
      <c r="E55">
        <v>1.92543979951729E-3</v>
      </c>
      <c r="F55">
        <v>2.938887091929946E-2</v>
      </c>
    </row>
    <row r="56" spans="1:6" x14ac:dyDescent="0.25">
      <c r="A56" t="s">
        <v>464</v>
      </c>
      <c r="B56">
        <v>1.637008474672873E-3</v>
      </c>
      <c r="C56">
        <v>1.09410015359182</v>
      </c>
      <c r="D56">
        <v>2.3367356325152029E-2</v>
      </c>
      <c r="E56">
        <v>1.4962144638210129E-3</v>
      </c>
      <c r="F56">
        <v>2.1357602636686741E-2</v>
      </c>
    </row>
    <row r="57" spans="1:6" x14ac:dyDescent="0.25">
      <c r="A57" t="s">
        <v>465</v>
      </c>
      <c r="B57">
        <v>2.1067855250608142E-3</v>
      </c>
      <c r="C57">
        <v>1.1179261210206879</v>
      </c>
      <c r="D57">
        <v>3.3282071399599329E-2</v>
      </c>
      <c r="E57">
        <v>1.8845480800978849E-3</v>
      </c>
      <c r="F57">
        <v>2.9771261958895959E-2</v>
      </c>
    </row>
    <row r="58" spans="1:6" x14ac:dyDescent="0.25">
      <c r="A58" t="s">
        <v>466</v>
      </c>
      <c r="B58">
        <v>2.2620808682351961E-3</v>
      </c>
      <c r="C58">
        <v>1.114106943929017</v>
      </c>
      <c r="D58">
        <v>3.2356190056032907E-2</v>
      </c>
      <c r="E58">
        <v>2.0303983208808719E-3</v>
      </c>
      <c r="F58">
        <v>2.904226585459143E-2</v>
      </c>
    </row>
    <row r="59" spans="1:6" x14ac:dyDescent="0.25">
      <c r="A59" t="s">
        <v>467</v>
      </c>
      <c r="B59">
        <v>2.1463045294986289E-3</v>
      </c>
      <c r="C59">
        <v>1.1159219676533929</v>
      </c>
      <c r="D59">
        <v>3.2848441033050367E-2</v>
      </c>
      <c r="E59">
        <v>1.9233464271807179E-3</v>
      </c>
      <c r="F59">
        <v>2.9436145165351871E-2</v>
      </c>
    </row>
    <row r="60" spans="1:6" x14ac:dyDescent="0.25">
      <c r="A60" t="s">
        <v>468</v>
      </c>
      <c r="B60">
        <v>2.0329072074464181E-3</v>
      </c>
      <c r="C60">
        <v>1.107188772583072</v>
      </c>
      <c r="D60">
        <v>2.8469132485627369E-2</v>
      </c>
      <c r="E60">
        <v>1.8360981052071581E-3</v>
      </c>
      <c r="F60">
        <v>2.5712988778967528E-2</v>
      </c>
    </row>
    <row r="61" spans="1:6" x14ac:dyDescent="0.25">
      <c r="A61" t="s">
        <v>469</v>
      </c>
      <c r="B61">
        <v>2.2591329671261058E-3</v>
      </c>
      <c r="C61">
        <v>1.113945632526705</v>
      </c>
      <c r="D61">
        <v>3.2520333751992807E-2</v>
      </c>
      <c r="E61">
        <v>2.0280459846158129E-3</v>
      </c>
      <c r="F61">
        <v>2.9193824907081521E-2</v>
      </c>
    </row>
    <row r="62" spans="1:6" x14ac:dyDescent="0.25">
      <c r="A62" t="s">
        <v>470</v>
      </c>
      <c r="B62">
        <v>2.4067680261779462E-3</v>
      </c>
      <c r="C62">
        <v>1.1167149529107261</v>
      </c>
      <c r="D62">
        <v>3.2834355233436793E-2</v>
      </c>
      <c r="E62">
        <v>2.1552214554884271E-3</v>
      </c>
      <c r="F62">
        <v>2.940262879784477E-2</v>
      </c>
    </row>
    <row r="63" spans="1:6" x14ac:dyDescent="0.25">
      <c r="A63" t="s">
        <v>471</v>
      </c>
      <c r="B63">
        <v>1.8430646336315599E-3</v>
      </c>
      <c r="C63">
        <v>1.1012444946528499</v>
      </c>
      <c r="D63">
        <v>2.579508175807281E-2</v>
      </c>
      <c r="E63">
        <v>1.673619838810233E-3</v>
      </c>
      <c r="F63">
        <v>2.342357385968526E-2</v>
      </c>
    </row>
    <row r="64" spans="1:6" x14ac:dyDescent="0.25">
      <c r="A64" t="s">
        <v>472</v>
      </c>
      <c r="B64">
        <v>8.3920063302629199E-4</v>
      </c>
      <c r="C64">
        <v>1.0685192487032671</v>
      </c>
      <c r="D64">
        <v>1.2097808341982539E-2</v>
      </c>
      <c r="E64">
        <v>7.8538653753287867E-4</v>
      </c>
      <c r="F64">
        <v>1.132203126585149E-2</v>
      </c>
    </row>
    <row r="65" spans="1:6" x14ac:dyDescent="0.25">
      <c r="A65" t="s">
        <v>473</v>
      </c>
      <c r="B65">
        <v>2.3308700116752728E-3</v>
      </c>
      <c r="C65">
        <v>1.1141066601551799</v>
      </c>
      <c r="D65">
        <v>3.2678225386865281E-2</v>
      </c>
      <c r="E65">
        <v>2.092142606301819E-3</v>
      </c>
      <c r="F65">
        <v>2.9331325765805619E-2</v>
      </c>
    </row>
    <row r="66" spans="1:6" x14ac:dyDescent="0.25">
      <c r="A66" t="s">
        <v>474</v>
      </c>
      <c r="B66">
        <v>2.5929433551505508E-3</v>
      </c>
      <c r="C66">
        <v>1.1204406625627581</v>
      </c>
      <c r="D66">
        <v>3.4538617990961383E-2</v>
      </c>
      <c r="E66">
        <v>2.3142174697763748E-3</v>
      </c>
      <c r="F66">
        <v>3.0825923357656441E-2</v>
      </c>
    </row>
    <row r="67" spans="1:6" x14ac:dyDescent="0.25">
      <c r="A67" t="s">
        <v>475</v>
      </c>
      <c r="B67">
        <v>2.1043889134387261E-3</v>
      </c>
      <c r="C67">
        <v>1.1178699489060451</v>
      </c>
      <c r="D67">
        <v>3.3333045113343007E-2</v>
      </c>
      <c r="E67">
        <v>1.882498868046408E-3</v>
      </c>
      <c r="F67">
        <v>2.9818356908120611E-2</v>
      </c>
    </row>
    <row r="68" spans="1:6" x14ac:dyDescent="0.25">
      <c r="A68" t="s">
        <v>476</v>
      </c>
      <c r="B68">
        <v>2.0958014059455502E-3</v>
      </c>
      <c r="C68">
        <v>1.1200178412358941</v>
      </c>
      <c r="D68">
        <v>3.3637884300733452E-2</v>
      </c>
      <c r="E68">
        <v>1.871221447359195E-3</v>
      </c>
      <c r="F68">
        <v>3.0033346847060431E-2</v>
      </c>
    </row>
    <row r="69" spans="1:6" x14ac:dyDescent="0.25">
      <c r="A69" t="s">
        <v>477</v>
      </c>
      <c r="B69">
        <v>2.4070752559040569E-3</v>
      </c>
      <c r="C69">
        <v>1.1168619027916</v>
      </c>
      <c r="D69">
        <v>3.2834564744920053E-2</v>
      </c>
      <c r="E69">
        <v>2.1552129675903222E-3</v>
      </c>
      <c r="F69">
        <v>2.939894776860949E-2</v>
      </c>
    </row>
    <row r="70" spans="1:6" x14ac:dyDescent="0.25">
      <c r="A70" t="s">
        <v>478</v>
      </c>
      <c r="B70">
        <v>2.0959115880615211E-3</v>
      </c>
      <c r="C70">
        <v>1.1214268197637229</v>
      </c>
      <c r="D70">
        <v>3.3864594368477587E-2</v>
      </c>
      <c r="E70">
        <v>1.868968666634097E-3</v>
      </c>
      <c r="F70">
        <v>3.0197774631083491E-2</v>
      </c>
    </row>
    <row r="71" spans="1:6" x14ac:dyDescent="0.25">
      <c r="A71" t="s">
        <v>479</v>
      </c>
      <c r="B71">
        <v>2.091047143449059E-3</v>
      </c>
      <c r="C71">
        <v>1.121241701711279</v>
      </c>
      <c r="D71">
        <v>3.385798466712573E-2</v>
      </c>
      <c r="E71">
        <v>1.864938790858054E-3</v>
      </c>
      <c r="F71">
        <v>3.0196865328368069E-2</v>
      </c>
    </row>
    <row r="72" spans="1:6" x14ac:dyDescent="0.25">
      <c r="A72" t="s">
        <v>480</v>
      </c>
      <c r="B72">
        <v>2.0883222635705821E-3</v>
      </c>
      <c r="C72">
        <v>1.120868370905862</v>
      </c>
      <c r="D72">
        <v>3.3858155078762088E-2</v>
      </c>
      <c r="E72">
        <v>1.863128907708265E-3</v>
      </c>
      <c r="F72">
        <v>3.0207075119265469E-2</v>
      </c>
    </row>
    <row r="73" spans="1:6" x14ac:dyDescent="0.25">
      <c r="A73" t="s">
        <v>481</v>
      </c>
      <c r="B73">
        <v>2.7888712233660609E-3</v>
      </c>
      <c r="C73">
        <v>1.1236777224704499</v>
      </c>
      <c r="D73">
        <v>3.6011217430089032E-2</v>
      </c>
      <c r="E73">
        <v>2.481913779722014E-3</v>
      </c>
      <c r="F73">
        <v>3.2047638490969567E-2</v>
      </c>
    </row>
    <row r="74" spans="1:6" x14ac:dyDescent="0.25">
      <c r="A74" t="s">
        <v>482</v>
      </c>
      <c r="B74">
        <v>2.1229896774938098E-3</v>
      </c>
      <c r="C74">
        <v>1.123305552499138</v>
      </c>
      <c r="D74">
        <v>3.410848072183563E-2</v>
      </c>
      <c r="E74">
        <v>1.8899485298283869E-3</v>
      </c>
      <c r="F74">
        <v>3.0364383622916179E-2</v>
      </c>
    </row>
    <row r="75" spans="1:6" x14ac:dyDescent="0.25">
      <c r="A75" t="s">
        <v>483</v>
      </c>
      <c r="B75">
        <v>1.0620111534903429E-3</v>
      </c>
      <c r="C75">
        <v>1.075196448267169</v>
      </c>
      <c r="D75">
        <v>1.497234519174844E-2</v>
      </c>
      <c r="E75">
        <v>9.8773685050943384E-4</v>
      </c>
      <c r="F75">
        <v>1.39252182388423E-2</v>
      </c>
    </row>
    <row r="76" spans="1:6" x14ac:dyDescent="0.25">
      <c r="A76" t="s">
        <v>484</v>
      </c>
      <c r="B76">
        <v>2.8005820659711181E-3</v>
      </c>
      <c r="C76">
        <v>1.1243125711785751</v>
      </c>
      <c r="D76">
        <v>3.6012476830290872E-2</v>
      </c>
      <c r="E76">
        <v>2.4909283572586679E-3</v>
      </c>
      <c r="F76">
        <v>3.2030662783162092E-2</v>
      </c>
    </row>
    <row r="77" spans="1:6" x14ac:dyDescent="0.25">
      <c r="A77" t="s">
        <v>485</v>
      </c>
      <c r="B77">
        <v>2.587557106278796E-3</v>
      </c>
      <c r="C77">
        <v>1.120814589405565</v>
      </c>
      <c r="D77">
        <v>3.4715763559863583E-2</v>
      </c>
      <c r="E77">
        <v>2.3086397435735859E-3</v>
      </c>
      <c r="F77">
        <v>3.0973689928746769E-2</v>
      </c>
    </row>
    <row r="78" spans="1:6" x14ac:dyDescent="0.25">
      <c r="A78" t="s">
        <v>486</v>
      </c>
      <c r="B78">
        <v>2.6009878410203748E-3</v>
      </c>
      <c r="C78">
        <v>1.121663503520492</v>
      </c>
      <c r="D78">
        <v>3.4879607177682417E-2</v>
      </c>
      <c r="E78">
        <v>2.318866427281286E-3</v>
      </c>
      <c r="F78">
        <v>3.109631994640823E-2</v>
      </c>
    </row>
    <row r="79" spans="1:6" x14ac:dyDescent="0.25">
      <c r="A79" t="s">
        <v>487</v>
      </c>
      <c r="B79">
        <v>2.1326928836022732E-3</v>
      </c>
      <c r="C79">
        <v>1.123769201678243</v>
      </c>
      <c r="D79">
        <v>3.4159929231460801E-2</v>
      </c>
      <c r="E79">
        <v>1.897803285957025E-3</v>
      </c>
      <c r="F79">
        <v>3.03976378605555E-2</v>
      </c>
    </row>
    <row r="80" spans="1:6" x14ac:dyDescent="0.25">
      <c r="A80" t="s">
        <v>488</v>
      </c>
      <c r="B80">
        <v>2.58418505655959E-3</v>
      </c>
      <c r="C80">
        <v>1.120653937188874</v>
      </c>
      <c r="D80">
        <v>3.4878651870249973E-2</v>
      </c>
      <c r="E80">
        <v>2.3059616986149519E-3</v>
      </c>
      <c r="F80">
        <v>3.112348131104772E-2</v>
      </c>
    </row>
    <row r="81" spans="1:6" x14ac:dyDescent="0.25">
      <c r="A81" t="s">
        <v>489</v>
      </c>
      <c r="B81">
        <v>2.1339265207293749E-3</v>
      </c>
      <c r="C81">
        <v>1.124010918365121</v>
      </c>
      <c r="D81">
        <v>3.4222195804246347E-2</v>
      </c>
      <c r="E81">
        <v>1.898492697769502E-3</v>
      </c>
      <c r="F81">
        <v>3.0446497667498369E-2</v>
      </c>
    </row>
    <row r="82" spans="1:6" x14ac:dyDescent="0.25">
      <c r="A82" t="s">
        <v>490</v>
      </c>
      <c r="B82">
        <v>2.1567538312046168E-3</v>
      </c>
      <c r="C82">
        <v>1.124615954540279</v>
      </c>
      <c r="D82">
        <v>3.4323821830779963E-2</v>
      </c>
      <c r="E82">
        <v>1.9177691926718721E-3</v>
      </c>
      <c r="F82">
        <v>3.052048274098235E-2</v>
      </c>
    </row>
    <row r="83" spans="1:6" x14ac:dyDescent="0.25">
      <c r="A83" t="s">
        <v>491</v>
      </c>
      <c r="B83">
        <v>2.0883221512109952E-3</v>
      </c>
      <c r="C83">
        <v>1.121087943211966</v>
      </c>
      <c r="D83">
        <v>3.3799152715528823E-2</v>
      </c>
      <c r="E83">
        <v>1.862763901668464E-3</v>
      </c>
      <c r="F83">
        <v>3.0148529310459589E-2</v>
      </c>
    </row>
    <row r="84" spans="1:6" x14ac:dyDescent="0.25">
      <c r="A84" t="s">
        <v>492</v>
      </c>
      <c r="B84">
        <v>3.010494222424272E-3</v>
      </c>
      <c r="C84">
        <v>1.126731035241195</v>
      </c>
      <c r="D84">
        <v>3.7624747639262372E-2</v>
      </c>
      <c r="E84">
        <v>2.671883642381277E-3</v>
      </c>
      <c r="F84">
        <v>3.3392838630035761E-2</v>
      </c>
    </row>
    <row r="85" spans="1:6" x14ac:dyDescent="0.25">
      <c r="A85" t="s">
        <v>493</v>
      </c>
      <c r="B85">
        <v>2.1214017510687972E-3</v>
      </c>
      <c r="C85">
        <v>1.1235431696875799</v>
      </c>
      <c r="D85">
        <v>3.420614111788043E-2</v>
      </c>
      <c r="E85">
        <v>1.8881355058735199E-3</v>
      </c>
      <c r="F85">
        <v>3.0444883686482668E-2</v>
      </c>
    </row>
    <row r="86" spans="1:6" x14ac:dyDescent="0.25">
      <c r="A86" t="s">
        <v>494</v>
      </c>
      <c r="B86">
        <v>1.082900081806113E-3</v>
      </c>
      <c r="C86">
        <v>1.077096204806492</v>
      </c>
      <c r="D86">
        <v>1.47919767101535E-2</v>
      </c>
      <c r="E86">
        <v>1.005388448101219E-3</v>
      </c>
      <c r="F86">
        <v>1.3733199173987409E-2</v>
      </c>
    </row>
    <row r="87" spans="1:6" x14ac:dyDescent="0.25">
      <c r="A87" t="s">
        <v>495</v>
      </c>
      <c r="B87">
        <v>2.115242503658746E-3</v>
      </c>
      <c r="C87">
        <v>1.1234059146753119</v>
      </c>
      <c r="D87">
        <v>3.4190559974156501E-2</v>
      </c>
      <c r="E87">
        <v>1.882883538378107E-3</v>
      </c>
      <c r="F87">
        <v>3.0434733810386149E-2</v>
      </c>
    </row>
    <row r="88" spans="1:6" x14ac:dyDescent="0.25">
      <c r="A88" t="s">
        <v>496</v>
      </c>
      <c r="B88">
        <v>3.2445084406773038E-3</v>
      </c>
      <c r="C88">
        <v>1.129104731741249</v>
      </c>
      <c r="D88">
        <v>3.9253112073571253E-2</v>
      </c>
      <c r="E88">
        <v>2.873523021796024E-3</v>
      </c>
      <c r="F88">
        <v>3.4764810535367292E-2</v>
      </c>
    </row>
    <row r="89" spans="1:6" x14ac:dyDescent="0.25">
      <c r="A89" t="s">
        <v>497</v>
      </c>
      <c r="B89">
        <v>2.156622109407951E-3</v>
      </c>
      <c r="C89">
        <v>1.124403975099258</v>
      </c>
      <c r="D89">
        <v>3.4161626755258537E-2</v>
      </c>
      <c r="E89">
        <v>1.918013594017732E-3</v>
      </c>
      <c r="F89">
        <v>3.038198682305699E-2</v>
      </c>
    </row>
    <row r="90" spans="1:6" x14ac:dyDescent="0.25">
      <c r="A90" t="s">
        <v>498</v>
      </c>
      <c r="B90">
        <v>3.2859077201336422E-3</v>
      </c>
      <c r="C90">
        <v>1.129095994501861</v>
      </c>
      <c r="D90">
        <v>3.9344018688016978E-2</v>
      </c>
      <c r="E90">
        <v>2.910211121228298E-3</v>
      </c>
      <c r="F90">
        <v>3.4845592296494608E-2</v>
      </c>
    </row>
    <row r="91" spans="1:6" x14ac:dyDescent="0.25">
      <c r="A91" t="s">
        <v>499</v>
      </c>
      <c r="B91">
        <v>3.3477431610426591E-3</v>
      </c>
      <c r="C91">
        <v>1.131511860686045</v>
      </c>
      <c r="D91">
        <v>4.0575376609613939E-2</v>
      </c>
      <c r="E91">
        <v>2.9586461064693508E-3</v>
      </c>
      <c r="F91">
        <v>3.5859435521084809E-2</v>
      </c>
    </row>
    <row r="92" spans="1:6" x14ac:dyDescent="0.25">
      <c r="A92" t="s">
        <v>500</v>
      </c>
      <c r="B92">
        <v>2.118988554675026E-3</v>
      </c>
      <c r="C92">
        <v>1.1234126522857519</v>
      </c>
      <c r="D92">
        <v>3.4206168656988188E-2</v>
      </c>
      <c r="E92">
        <v>1.886206773943329E-3</v>
      </c>
      <c r="F92">
        <v>3.0448445268433291E-2</v>
      </c>
    </row>
    <row r="93" spans="1:6" x14ac:dyDescent="0.25">
      <c r="A93" t="s">
        <v>501</v>
      </c>
      <c r="B93">
        <v>2.0995182645407941E-3</v>
      </c>
      <c r="C93">
        <v>1.1202879852426599</v>
      </c>
      <c r="D93">
        <v>3.3689055664045092E-2</v>
      </c>
      <c r="E93">
        <v>1.874087995405956E-3</v>
      </c>
      <c r="F93">
        <v>3.0071781638136421E-2</v>
      </c>
    </row>
    <row r="94" spans="1:6" x14ac:dyDescent="0.25">
      <c r="A94" t="s">
        <v>502</v>
      </c>
      <c r="B94">
        <v>2.1128362751453821E-3</v>
      </c>
      <c r="C94">
        <v>1.1233517108040481</v>
      </c>
      <c r="D94">
        <v>3.4184556828012073E-2</v>
      </c>
      <c r="E94">
        <v>1.8808323829703369E-3</v>
      </c>
      <c r="F94">
        <v>3.0430858384988092E-2</v>
      </c>
    </row>
    <row r="95" spans="1:6" x14ac:dyDescent="0.25">
      <c r="A95" t="s">
        <v>503</v>
      </c>
      <c r="B95">
        <v>2.1442123063606269E-3</v>
      </c>
      <c r="C95">
        <v>1.1244742724011501</v>
      </c>
      <c r="D95">
        <v>3.4273591723822099E-2</v>
      </c>
      <c r="E95">
        <v>1.9068575946890941E-3</v>
      </c>
      <c r="F95">
        <v>3.0479658419072461E-2</v>
      </c>
    </row>
    <row r="96" spans="1:6" x14ac:dyDescent="0.25">
      <c r="A96" t="s">
        <v>504</v>
      </c>
      <c r="B96">
        <v>3.4622818018595299E-3</v>
      </c>
      <c r="C96">
        <v>1.1340638963536109</v>
      </c>
      <c r="D96">
        <v>4.1773818297163118E-2</v>
      </c>
      <c r="E96">
        <v>3.0529865318805281E-3</v>
      </c>
      <c r="F96">
        <v>3.6835506739505329E-2</v>
      </c>
    </row>
    <row r="97" spans="1:6" x14ac:dyDescent="0.25">
      <c r="A97" t="s">
        <v>505</v>
      </c>
      <c r="B97">
        <v>1.2115710566480431E-3</v>
      </c>
      <c r="C97">
        <v>1.079348816719955</v>
      </c>
      <c r="D97">
        <v>1.7122387741933639E-2</v>
      </c>
      <c r="E97">
        <v>1.122501862122664E-3</v>
      </c>
      <c r="F97">
        <v>1.5863627658357062E-2</v>
      </c>
    </row>
    <row r="98" spans="1:6" x14ac:dyDescent="0.25">
      <c r="A98" t="s">
        <v>506</v>
      </c>
      <c r="B98">
        <v>2.1687565649846272E-3</v>
      </c>
      <c r="C98">
        <v>1.1251086451745389</v>
      </c>
      <c r="D98">
        <v>3.4275336836699317E-2</v>
      </c>
      <c r="E98">
        <v>1.927597458508717E-3</v>
      </c>
      <c r="F98">
        <v>3.0464024059989488E-2</v>
      </c>
    </row>
    <row r="99" spans="1:6" x14ac:dyDescent="0.25">
      <c r="A99" t="s">
        <v>507</v>
      </c>
      <c r="B99">
        <v>2.1688895150742331E-3</v>
      </c>
      <c r="C99">
        <v>1.125320481171231</v>
      </c>
      <c r="D99">
        <v>3.4437352162462638E-2</v>
      </c>
      <c r="E99">
        <v>1.927352742053409E-3</v>
      </c>
      <c r="F99">
        <v>3.0602261967737701E-2</v>
      </c>
    </row>
    <row r="100" spans="1:6" x14ac:dyDescent="0.25">
      <c r="A100" t="s">
        <v>508</v>
      </c>
      <c r="B100">
        <v>3.6014893407933239E-3</v>
      </c>
      <c r="C100">
        <v>1.135783515552288</v>
      </c>
      <c r="D100">
        <v>4.284824661004738E-2</v>
      </c>
      <c r="E100">
        <v>3.1709293993777139E-3</v>
      </c>
      <c r="F100">
        <v>3.7725716233178407E-2</v>
      </c>
    </row>
    <row r="101" spans="1:6" x14ac:dyDescent="0.25">
      <c r="A101" t="s">
        <v>509</v>
      </c>
      <c r="B101">
        <v>3.3448883359164551E-3</v>
      </c>
      <c r="C101">
        <v>1.131470040510665</v>
      </c>
      <c r="D101">
        <v>4.0612256322102067E-2</v>
      </c>
      <c r="E101">
        <v>2.95623234920724E-3</v>
      </c>
      <c r="F101">
        <v>3.5893355429696211E-2</v>
      </c>
    </row>
    <row r="102" spans="1:6" x14ac:dyDescent="0.25">
      <c r="A102" t="s">
        <v>510</v>
      </c>
      <c r="B102">
        <v>3.638715528857838E-3</v>
      </c>
      <c r="C102">
        <v>1.135975443948539</v>
      </c>
      <c r="D102">
        <v>4.2935947996857862E-2</v>
      </c>
      <c r="E102">
        <v>3.203163896052207E-3</v>
      </c>
      <c r="F102">
        <v>3.7796545889774449E-2</v>
      </c>
    </row>
    <row r="103" spans="1:6" x14ac:dyDescent="0.25">
      <c r="A103" t="s">
        <v>511</v>
      </c>
      <c r="B103">
        <v>3.6195728987228931E-3</v>
      </c>
      <c r="C103">
        <v>1.13685676965055</v>
      </c>
      <c r="D103">
        <v>4.362752851282134E-2</v>
      </c>
      <c r="E103">
        <v>3.1838424992054939E-3</v>
      </c>
      <c r="F103">
        <v>3.837557173207639E-2</v>
      </c>
    </row>
    <row r="104" spans="1:6" x14ac:dyDescent="0.25">
      <c r="A104" t="s">
        <v>512</v>
      </c>
      <c r="B104">
        <v>3.651854816136826E-3</v>
      </c>
      <c r="C104">
        <v>1.138072002416592</v>
      </c>
      <c r="D104">
        <v>4.42840692807095E-2</v>
      </c>
      <c r="E104">
        <v>3.2088082374247392E-3</v>
      </c>
      <c r="F104">
        <v>3.8911482917316602E-2</v>
      </c>
    </row>
    <row r="105" spans="1:6" x14ac:dyDescent="0.25">
      <c r="A105" t="s">
        <v>513</v>
      </c>
      <c r="B105">
        <v>3.6468321996322569E-3</v>
      </c>
      <c r="C105">
        <v>1.136603415090361</v>
      </c>
      <c r="D105">
        <v>4.2937239136602953E-2</v>
      </c>
      <c r="E105">
        <v>3.208535317784816E-3</v>
      </c>
      <c r="F105">
        <v>3.7776799336107413E-2</v>
      </c>
    </row>
    <row r="106" spans="1:6" x14ac:dyDescent="0.25">
      <c r="A106" t="s">
        <v>514</v>
      </c>
      <c r="B106">
        <v>3.6164862699646942E-3</v>
      </c>
      <c r="C106">
        <v>1.1368150648251361</v>
      </c>
      <c r="D106">
        <v>4.3663946414301193E-2</v>
      </c>
      <c r="E106">
        <v>3.181244145916539E-3</v>
      </c>
      <c r="F106">
        <v>3.8409014592903523E-2</v>
      </c>
    </row>
    <row r="107" spans="1:6" x14ac:dyDescent="0.25">
      <c r="A107" t="s">
        <v>515</v>
      </c>
      <c r="B107">
        <v>3.687033870860426E-3</v>
      </c>
      <c r="C107">
        <v>1.139288406249052</v>
      </c>
      <c r="D107">
        <v>4.4940931702961658E-2</v>
      </c>
      <c r="E107">
        <v>3.236260327619301E-3</v>
      </c>
      <c r="F107">
        <v>3.9446492614564052E-2</v>
      </c>
    </row>
    <row r="108" spans="1:6" x14ac:dyDescent="0.25">
      <c r="A108" t="s">
        <v>516</v>
      </c>
      <c r="B108">
        <v>1.2066367460174829E-3</v>
      </c>
      <c r="C108">
        <v>1.0790102693544721</v>
      </c>
      <c r="D108">
        <v>1.721896518448178E-2</v>
      </c>
      <c r="E108">
        <v>1.1182810583808111E-3</v>
      </c>
      <c r="F108">
        <v>1.5958110569960729E-2</v>
      </c>
    </row>
    <row r="109" spans="1:6" x14ac:dyDescent="0.25">
      <c r="A109" t="s">
        <v>517</v>
      </c>
      <c r="B109">
        <v>3.7337960161317801E-3</v>
      </c>
      <c r="C109">
        <v>1.1393488353377621</v>
      </c>
      <c r="D109">
        <v>4.5474391266695648E-2</v>
      </c>
      <c r="E109">
        <v>3.2771315512205609E-3</v>
      </c>
      <c r="F109">
        <v>3.9912614869365003E-2</v>
      </c>
    </row>
    <row r="110" spans="1:6" x14ac:dyDescent="0.25">
      <c r="A110" t="s">
        <v>518</v>
      </c>
      <c r="B110">
        <v>3.7289857791482002E-3</v>
      </c>
      <c r="C110">
        <v>1.1394526484273291</v>
      </c>
      <c r="D110">
        <v>4.5472238521546103E-2</v>
      </c>
      <c r="E110">
        <v>3.2726114457629651E-3</v>
      </c>
      <c r="F110">
        <v>3.9907089236491597E-2</v>
      </c>
    </row>
    <row r="111" spans="1:6" x14ac:dyDescent="0.25">
      <c r="A111" t="s">
        <v>519</v>
      </c>
      <c r="B111">
        <v>3.7983173524294219E-3</v>
      </c>
      <c r="C111">
        <v>1.1390590195836621</v>
      </c>
      <c r="D111">
        <v>4.6015603690511747E-2</v>
      </c>
      <c r="E111">
        <v>3.3346097850291789E-3</v>
      </c>
      <c r="F111">
        <v>4.0397909940900992E-2</v>
      </c>
    </row>
    <row r="112" spans="1:6" x14ac:dyDescent="0.25">
      <c r="A112" t="s">
        <v>520</v>
      </c>
      <c r="B112">
        <v>3.7410805575475328E-3</v>
      </c>
      <c r="C112">
        <v>1.1400786736091479</v>
      </c>
      <c r="D112">
        <v>4.5473890816007452E-2</v>
      </c>
      <c r="E112">
        <v>3.281423154513006E-3</v>
      </c>
      <c r="F112">
        <v>3.9886625255475337E-2</v>
      </c>
    </row>
    <row r="113" spans="1:6" x14ac:dyDescent="0.25">
      <c r="A113" t="s">
        <v>521</v>
      </c>
      <c r="B113">
        <v>3.7931728136434339E-3</v>
      </c>
      <c r="C113">
        <v>1.1391612175499091</v>
      </c>
      <c r="D113">
        <v>4.6051929253212408E-2</v>
      </c>
      <c r="E113">
        <v>3.3297945498897302E-3</v>
      </c>
      <c r="F113">
        <v>4.042617370020745E-2</v>
      </c>
    </row>
    <row r="114" spans="1:6" x14ac:dyDescent="0.25">
      <c r="A114" t="s">
        <v>522</v>
      </c>
      <c r="B114">
        <v>3.7316528094806191E-3</v>
      </c>
      <c r="C114">
        <v>1.136188594540213</v>
      </c>
      <c r="D114">
        <v>4.3211473889703228E-2</v>
      </c>
      <c r="E114">
        <v>3.284360384721804E-3</v>
      </c>
      <c r="F114">
        <v>3.8031955343813192E-2</v>
      </c>
    </row>
    <row r="115" spans="1:6" x14ac:dyDescent="0.25">
      <c r="A115" t="s">
        <v>523</v>
      </c>
      <c r="B115">
        <v>3.788229808845924E-3</v>
      </c>
      <c r="C115">
        <v>1.1387937610932679</v>
      </c>
      <c r="D115">
        <v>4.6052106788090068E-2</v>
      </c>
      <c r="E115">
        <v>3.3265284182880809E-3</v>
      </c>
      <c r="F115">
        <v>4.043937397749614E-2</v>
      </c>
    </row>
    <row r="116" spans="1:6" x14ac:dyDescent="0.25">
      <c r="A116" t="s">
        <v>524</v>
      </c>
      <c r="B116">
        <v>3.0093930163523478E-3</v>
      </c>
      <c r="C116">
        <v>1.1269337235058281</v>
      </c>
      <c r="D116">
        <v>3.7621065806407963E-2</v>
      </c>
      <c r="E116">
        <v>2.6704259119962209E-3</v>
      </c>
      <c r="F116">
        <v>3.3383565529808548E-2</v>
      </c>
    </row>
    <row r="117" spans="1:6" x14ac:dyDescent="0.25">
      <c r="A117" t="s">
        <v>525</v>
      </c>
      <c r="B117">
        <v>3.4555617546118138E-3</v>
      </c>
      <c r="C117">
        <v>1.1343113102910281</v>
      </c>
      <c r="D117">
        <v>4.1810924535347287E-2</v>
      </c>
      <c r="E117">
        <v>3.046396278747521E-3</v>
      </c>
      <c r="F117">
        <v>3.68601848152426E-2</v>
      </c>
    </row>
    <row r="118" spans="1:6" x14ac:dyDescent="0.25">
      <c r="A118" t="s">
        <v>526</v>
      </c>
      <c r="B118">
        <v>3.8858294894404252E-3</v>
      </c>
      <c r="C118">
        <v>1.138424237948289</v>
      </c>
      <c r="D118">
        <v>4.6434394440793718E-2</v>
      </c>
      <c r="E118">
        <v>3.4133404401540252E-3</v>
      </c>
      <c r="F118">
        <v>4.0788304476439753E-2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"/>
  <sheetViews>
    <sheetView workbookViewId="0"/>
  </sheetViews>
  <sheetFormatPr defaultRowHeight="15" x14ac:dyDescent="0.25"/>
  <sheetData>
    <row r="1" spans="1:15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  <c r="H1" t="s">
        <v>539</v>
      </c>
      <c r="I1" t="s">
        <v>540</v>
      </c>
      <c r="J1" t="s">
        <v>541</v>
      </c>
      <c r="K1" t="s">
        <v>542</v>
      </c>
      <c r="L1" t="s">
        <v>543</v>
      </c>
      <c r="M1" t="s">
        <v>544</v>
      </c>
      <c r="N1" t="s">
        <v>545</v>
      </c>
      <c r="O1" t="s">
        <v>546</v>
      </c>
    </row>
    <row r="2" spans="1:15" x14ac:dyDescent="0.25">
      <c r="A2" t="s">
        <v>547</v>
      </c>
      <c r="B2">
        <v>95.341188797656855</v>
      </c>
      <c r="C2">
        <v>-145.19429912422359</v>
      </c>
      <c r="D2">
        <v>23.118982528156039</v>
      </c>
      <c r="E2">
        <v>-1.6610152700053209</v>
      </c>
      <c r="F2">
        <v>111.2067355246464</v>
      </c>
      <c r="G2">
        <v>130.66950676822779</v>
      </c>
      <c r="H2">
        <v>20.564287661671461</v>
      </c>
      <c r="I2">
        <v>-17.196367949426531</v>
      </c>
      <c r="J2">
        <v>159.3722077908744</v>
      </c>
      <c r="K2">
        <v>-9.0030556823768357</v>
      </c>
      <c r="L2">
        <v>36.308338087915423</v>
      </c>
      <c r="M2">
        <v>-13.07501484595374</v>
      </c>
      <c r="N2">
        <v>44.166522451447491</v>
      </c>
      <c r="O2">
        <v>8.3145040013366689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6"/>
  <sheetViews>
    <sheetView workbookViewId="0"/>
  </sheetViews>
  <sheetFormatPr defaultRowHeight="15" x14ac:dyDescent="0.25"/>
  <sheetData>
    <row r="1" spans="1:7" x14ac:dyDescent="0.25">
      <c r="A1" t="s">
        <v>32</v>
      </c>
      <c r="B1" t="s">
        <v>96</v>
      </c>
      <c r="C1" t="s">
        <v>97</v>
      </c>
      <c r="D1" t="s">
        <v>548</v>
      </c>
      <c r="E1" t="s">
        <v>549</v>
      </c>
      <c r="F1" t="s">
        <v>98</v>
      </c>
      <c r="G1" t="s">
        <v>550</v>
      </c>
    </row>
    <row r="2" spans="1:7" x14ac:dyDescent="0.25">
      <c r="A2" t="s">
        <v>101</v>
      </c>
      <c r="B2">
        <v>0</v>
      </c>
      <c r="C2">
        <v>0</v>
      </c>
      <c r="D2">
        <v>0</v>
      </c>
      <c r="E2">
        <v>0</v>
      </c>
      <c r="F2">
        <v>10</v>
      </c>
      <c r="G2" t="s">
        <v>103</v>
      </c>
    </row>
    <row r="3" spans="1:7" x14ac:dyDescent="0.25">
      <c r="A3" t="s">
        <v>104</v>
      </c>
      <c r="B3">
        <v>0</v>
      </c>
      <c r="C3">
        <v>0</v>
      </c>
      <c r="D3">
        <v>0</v>
      </c>
      <c r="E3">
        <v>0</v>
      </c>
      <c r="F3">
        <v>10</v>
      </c>
      <c r="G3" t="s">
        <v>103</v>
      </c>
    </row>
    <row r="4" spans="1:7" x14ac:dyDescent="0.25">
      <c r="A4" t="s">
        <v>105</v>
      </c>
      <c r="B4">
        <v>0</v>
      </c>
      <c r="C4">
        <v>0</v>
      </c>
      <c r="D4">
        <v>0</v>
      </c>
      <c r="E4">
        <v>0</v>
      </c>
      <c r="F4">
        <v>10</v>
      </c>
      <c r="G4" t="s">
        <v>103</v>
      </c>
    </row>
    <row r="5" spans="1:7" x14ac:dyDescent="0.25">
      <c r="A5" t="s">
        <v>106</v>
      </c>
      <c r="B5">
        <v>2.2000002861022949</v>
      </c>
      <c r="C5">
        <v>1.609783874488106E-7</v>
      </c>
      <c r="D5">
        <v>0</v>
      </c>
      <c r="E5">
        <v>2.2000002861023011</v>
      </c>
      <c r="F5">
        <v>10</v>
      </c>
      <c r="G5" t="s">
        <v>103</v>
      </c>
    </row>
    <row r="6" spans="1:7" x14ac:dyDescent="0.25">
      <c r="A6" t="s">
        <v>107</v>
      </c>
      <c r="B6">
        <v>2.2000002861022949</v>
      </c>
      <c r="C6">
        <v>-4.3269758172170592E-7</v>
      </c>
      <c r="D6">
        <v>0</v>
      </c>
      <c r="E6">
        <v>2.200000286102338</v>
      </c>
      <c r="F6">
        <v>10</v>
      </c>
      <c r="G6" t="s">
        <v>103</v>
      </c>
    </row>
    <row r="7" spans="1:7" x14ac:dyDescent="0.25">
      <c r="A7" t="s">
        <v>108</v>
      </c>
      <c r="B7">
        <v>2.2000002861022949</v>
      </c>
      <c r="C7">
        <v>-1.026657345942761E-6</v>
      </c>
      <c r="D7">
        <v>0</v>
      </c>
      <c r="E7">
        <v>2.2000002861025352</v>
      </c>
      <c r="F7">
        <v>10</v>
      </c>
      <c r="G7" t="s">
        <v>103</v>
      </c>
    </row>
    <row r="8" spans="1:7" x14ac:dyDescent="0.25">
      <c r="A8" t="s">
        <v>109</v>
      </c>
      <c r="B8">
        <v>2.2000002861022949</v>
      </c>
      <c r="C8">
        <v>2.1343436190877449E-7</v>
      </c>
      <c r="D8">
        <v>0</v>
      </c>
      <c r="E8">
        <v>2.2000002861023051</v>
      </c>
      <c r="F8">
        <v>10</v>
      </c>
      <c r="G8" t="s">
        <v>103</v>
      </c>
    </row>
    <row r="9" spans="1:7" x14ac:dyDescent="0.25">
      <c r="A9" t="s">
        <v>110</v>
      </c>
      <c r="B9">
        <v>2.2000002861022949</v>
      </c>
      <c r="C9">
        <v>-5.6817021721848376E-7</v>
      </c>
      <c r="D9">
        <v>0</v>
      </c>
      <c r="E9">
        <v>2.2000002861023682</v>
      </c>
      <c r="F9">
        <v>10</v>
      </c>
      <c r="G9" t="s">
        <v>103</v>
      </c>
    </row>
    <row r="10" spans="1:7" x14ac:dyDescent="0.25">
      <c r="A10" t="s">
        <v>111</v>
      </c>
      <c r="B10">
        <v>2.2000002861022949</v>
      </c>
      <c r="C10">
        <v>-1.3281342547734789E-6</v>
      </c>
      <c r="D10">
        <v>0</v>
      </c>
      <c r="E10">
        <v>2.2000002861026959</v>
      </c>
      <c r="F10">
        <v>10</v>
      </c>
      <c r="G10" t="s">
        <v>103</v>
      </c>
    </row>
    <row r="11" spans="1:7" x14ac:dyDescent="0.25">
      <c r="A11" t="s">
        <v>112</v>
      </c>
      <c r="B11">
        <v>0</v>
      </c>
      <c r="C11">
        <v>0</v>
      </c>
      <c r="D11">
        <v>0</v>
      </c>
      <c r="E11">
        <v>0</v>
      </c>
      <c r="F11">
        <v>10</v>
      </c>
      <c r="G11" t="s">
        <v>103</v>
      </c>
    </row>
    <row r="12" spans="1:7" x14ac:dyDescent="0.25">
      <c r="A12" t="s">
        <v>113</v>
      </c>
      <c r="B12">
        <v>0</v>
      </c>
      <c r="C12">
        <v>0</v>
      </c>
      <c r="D12">
        <v>0</v>
      </c>
      <c r="E12">
        <v>0</v>
      </c>
      <c r="F12">
        <v>10</v>
      </c>
      <c r="G12" t="s">
        <v>103</v>
      </c>
    </row>
    <row r="13" spans="1:7" x14ac:dyDescent="0.25">
      <c r="A13" t="s">
        <v>114</v>
      </c>
      <c r="B13">
        <v>0</v>
      </c>
      <c r="C13">
        <v>0</v>
      </c>
      <c r="D13">
        <v>0</v>
      </c>
      <c r="E13">
        <v>0</v>
      </c>
      <c r="F13">
        <v>10</v>
      </c>
      <c r="G13" t="s">
        <v>103</v>
      </c>
    </row>
    <row r="14" spans="1:7" x14ac:dyDescent="0.25">
      <c r="A14" t="s">
        <v>115</v>
      </c>
      <c r="B14">
        <v>2.2000002861022949</v>
      </c>
      <c r="C14">
        <v>1.616854905170384E-7</v>
      </c>
      <c r="D14">
        <v>0</v>
      </c>
      <c r="E14">
        <v>2.2000002861023011</v>
      </c>
      <c r="F14">
        <v>10</v>
      </c>
      <c r="G14" t="s">
        <v>103</v>
      </c>
    </row>
    <row r="15" spans="1:7" x14ac:dyDescent="0.25">
      <c r="A15" t="s">
        <v>116</v>
      </c>
      <c r="B15">
        <v>2.2000002861022949</v>
      </c>
      <c r="C15">
        <v>-4.3404130109214267E-7</v>
      </c>
      <c r="D15">
        <v>0</v>
      </c>
      <c r="E15">
        <v>2.200000286102338</v>
      </c>
      <c r="F15">
        <v>10</v>
      </c>
      <c r="G15" t="s">
        <v>103</v>
      </c>
    </row>
    <row r="16" spans="1:7" x14ac:dyDescent="0.25">
      <c r="A16" t="s">
        <v>117</v>
      </c>
      <c r="B16">
        <v>2.2000002861022949</v>
      </c>
      <c r="C16">
        <v>-1.0306874214059221E-6</v>
      </c>
      <c r="D16">
        <v>0</v>
      </c>
      <c r="E16">
        <v>2.200000286102537</v>
      </c>
      <c r="F16">
        <v>10</v>
      </c>
      <c r="G16" t="s">
        <v>103</v>
      </c>
    </row>
    <row r="17" spans="1:7" x14ac:dyDescent="0.25">
      <c r="A17" t="s">
        <v>118</v>
      </c>
      <c r="B17">
        <v>0</v>
      </c>
      <c r="C17">
        <v>0</v>
      </c>
      <c r="D17">
        <v>0</v>
      </c>
      <c r="E17">
        <v>0</v>
      </c>
      <c r="F17">
        <v>10</v>
      </c>
      <c r="G17" t="s">
        <v>103</v>
      </c>
    </row>
    <row r="18" spans="1:7" x14ac:dyDescent="0.25">
      <c r="A18" t="s">
        <v>119</v>
      </c>
      <c r="B18">
        <v>0</v>
      </c>
      <c r="C18">
        <v>0</v>
      </c>
      <c r="D18">
        <v>0</v>
      </c>
      <c r="E18">
        <v>0</v>
      </c>
      <c r="F18">
        <v>10</v>
      </c>
      <c r="G18" t="s">
        <v>103</v>
      </c>
    </row>
    <row r="19" spans="1:7" x14ac:dyDescent="0.25">
      <c r="A19" t="s">
        <v>120</v>
      </c>
      <c r="B19">
        <v>0</v>
      </c>
      <c r="C19">
        <v>0</v>
      </c>
      <c r="D19">
        <v>0</v>
      </c>
      <c r="E19">
        <v>0</v>
      </c>
      <c r="F19">
        <v>10</v>
      </c>
      <c r="G19" t="s">
        <v>103</v>
      </c>
    </row>
    <row r="20" spans="1:7" x14ac:dyDescent="0.25">
      <c r="A20" t="s">
        <v>121</v>
      </c>
      <c r="B20">
        <v>0</v>
      </c>
      <c r="C20">
        <v>0</v>
      </c>
      <c r="D20">
        <v>0</v>
      </c>
      <c r="E20">
        <v>0</v>
      </c>
      <c r="F20">
        <v>10</v>
      </c>
      <c r="G20" t="s">
        <v>103</v>
      </c>
    </row>
    <row r="21" spans="1:7" x14ac:dyDescent="0.25">
      <c r="A21" t="s">
        <v>122</v>
      </c>
      <c r="B21">
        <v>0</v>
      </c>
      <c r="C21">
        <v>0</v>
      </c>
      <c r="D21">
        <v>0</v>
      </c>
      <c r="E21">
        <v>0</v>
      </c>
      <c r="F21">
        <v>10</v>
      </c>
      <c r="G21" t="s">
        <v>103</v>
      </c>
    </row>
    <row r="22" spans="1:7" x14ac:dyDescent="0.25">
      <c r="A22" t="s">
        <v>123</v>
      </c>
      <c r="B22">
        <v>0</v>
      </c>
      <c r="C22">
        <v>0</v>
      </c>
      <c r="D22">
        <v>0</v>
      </c>
      <c r="E22">
        <v>0</v>
      </c>
      <c r="F22">
        <v>10</v>
      </c>
      <c r="G22" t="s">
        <v>103</v>
      </c>
    </row>
    <row r="23" spans="1:7" x14ac:dyDescent="0.25">
      <c r="A23" t="s">
        <v>124</v>
      </c>
      <c r="B23">
        <v>2.2000002861022949</v>
      </c>
      <c r="C23">
        <v>2.0099514572967839E-7</v>
      </c>
      <c r="D23">
        <v>0</v>
      </c>
      <c r="E23">
        <v>2.2000002861023038</v>
      </c>
      <c r="F23">
        <v>10</v>
      </c>
      <c r="G23" t="s">
        <v>103</v>
      </c>
    </row>
    <row r="24" spans="1:7" x14ac:dyDescent="0.25">
      <c r="A24" t="s">
        <v>125</v>
      </c>
      <c r="B24">
        <v>2.2000002861022949</v>
      </c>
      <c r="C24">
        <v>-5.424237158610859E-7</v>
      </c>
      <c r="D24">
        <v>0</v>
      </c>
      <c r="E24">
        <v>2.200000286102362</v>
      </c>
      <c r="F24">
        <v>10</v>
      </c>
      <c r="G24" t="s">
        <v>103</v>
      </c>
    </row>
    <row r="25" spans="1:7" x14ac:dyDescent="0.25">
      <c r="A25" t="s">
        <v>126</v>
      </c>
      <c r="B25">
        <v>2.2000002861022949</v>
      </c>
      <c r="C25">
        <v>-1.2723797711336009E-6</v>
      </c>
      <c r="D25">
        <v>0</v>
      </c>
      <c r="E25">
        <v>2.2000002861026631</v>
      </c>
      <c r="F25">
        <v>10</v>
      </c>
      <c r="G25" t="s">
        <v>103</v>
      </c>
    </row>
    <row r="26" spans="1:7" x14ac:dyDescent="0.25">
      <c r="A26" t="s">
        <v>127</v>
      </c>
      <c r="B26">
        <v>0</v>
      </c>
      <c r="C26">
        <v>0</v>
      </c>
      <c r="D26">
        <v>0</v>
      </c>
      <c r="E26">
        <v>0</v>
      </c>
      <c r="F26">
        <v>10</v>
      </c>
      <c r="G26" t="s">
        <v>103</v>
      </c>
    </row>
    <row r="27" spans="1:7" x14ac:dyDescent="0.25">
      <c r="A27" t="s">
        <v>128</v>
      </c>
      <c r="B27">
        <v>0</v>
      </c>
      <c r="C27">
        <v>0</v>
      </c>
      <c r="D27">
        <v>0</v>
      </c>
      <c r="E27">
        <v>0</v>
      </c>
      <c r="F27">
        <v>10</v>
      </c>
      <c r="G27" t="s">
        <v>103</v>
      </c>
    </row>
    <row r="28" spans="1:7" x14ac:dyDescent="0.25">
      <c r="A28" t="s">
        <v>129</v>
      </c>
      <c r="B28">
        <v>2.5000002384185791</v>
      </c>
      <c r="C28">
        <v>-1.521518872265454E-6</v>
      </c>
      <c r="D28">
        <v>0</v>
      </c>
      <c r="E28">
        <v>2.5000002384190418</v>
      </c>
      <c r="F28">
        <v>10</v>
      </c>
      <c r="G28" t="s">
        <v>103</v>
      </c>
    </row>
    <row r="29" spans="1:7" x14ac:dyDescent="0.25">
      <c r="A29" t="s">
        <v>130</v>
      </c>
      <c r="B29">
        <v>0</v>
      </c>
      <c r="C29">
        <v>0</v>
      </c>
      <c r="D29">
        <v>0</v>
      </c>
      <c r="E29">
        <v>0</v>
      </c>
      <c r="F29">
        <v>10</v>
      </c>
      <c r="G29" t="s">
        <v>103</v>
      </c>
    </row>
    <row r="30" spans="1:7" x14ac:dyDescent="0.25">
      <c r="A30" t="s">
        <v>131</v>
      </c>
      <c r="B30">
        <v>0</v>
      </c>
      <c r="C30">
        <v>0</v>
      </c>
      <c r="D30">
        <v>0</v>
      </c>
      <c r="E30">
        <v>0</v>
      </c>
      <c r="F30">
        <v>10</v>
      </c>
      <c r="G30" t="s">
        <v>103</v>
      </c>
    </row>
    <row r="31" spans="1:7" x14ac:dyDescent="0.25">
      <c r="A31" t="s">
        <v>132</v>
      </c>
      <c r="B31">
        <v>0</v>
      </c>
      <c r="C31">
        <v>0</v>
      </c>
      <c r="D31">
        <v>0</v>
      </c>
      <c r="E31">
        <v>0</v>
      </c>
      <c r="F31">
        <v>10</v>
      </c>
      <c r="G31" t="s">
        <v>103</v>
      </c>
    </row>
    <row r="32" spans="1:7" x14ac:dyDescent="0.25">
      <c r="A32" t="s">
        <v>133</v>
      </c>
      <c r="B32">
        <v>2.2000002861022949</v>
      </c>
      <c r="C32">
        <v>2.0348831878772941E-7</v>
      </c>
      <c r="D32">
        <v>0</v>
      </c>
      <c r="E32">
        <v>2.2000002861023038</v>
      </c>
      <c r="F32">
        <v>10</v>
      </c>
      <c r="G32" t="s">
        <v>103</v>
      </c>
    </row>
    <row r="33" spans="1:7" x14ac:dyDescent="0.25">
      <c r="A33" t="s">
        <v>134</v>
      </c>
      <c r="B33">
        <v>2.2000002861022949</v>
      </c>
      <c r="C33">
        <v>-5.4182207686060324E-7</v>
      </c>
      <c r="D33">
        <v>0</v>
      </c>
      <c r="E33">
        <v>2.200000286102362</v>
      </c>
      <c r="F33">
        <v>10</v>
      </c>
      <c r="G33" t="s">
        <v>103</v>
      </c>
    </row>
    <row r="34" spans="1:7" x14ac:dyDescent="0.25">
      <c r="A34" t="s">
        <v>135</v>
      </c>
      <c r="B34">
        <v>2.2000002861022949</v>
      </c>
      <c r="C34">
        <v>-1.275407819576376E-6</v>
      </c>
      <c r="D34">
        <v>0</v>
      </c>
      <c r="E34">
        <v>2.200000286102664</v>
      </c>
      <c r="F34">
        <v>10</v>
      </c>
      <c r="G34" t="s">
        <v>103</v>
      </c>
    </row>
    <row r="35" spans="1:7" x14ac:dyDescent="0.25">
      <c r="A35" t="s">
        <v>136</v>
      </c>
      <c r="B35">
        <v>0</v>
      </c>
      <c r="C35">
        <v>0</v>
      </c>
      <c r="D35">
        <v>0</v>
      </c>
      <c r="E35">
        <v>0</v>
      </c>
      <c r="F35">
        <v>10</v>
      </c>
      <c r="G35" t="s">
        <v>103</v>
      </c>
    </row>
    <row r="36" spans="1:7" x14ac:dyDescent="0.25">
      <c r="A36" t="s">
        <v>137</v>
      </c>
      <c r="B36">
        <v>0</v>
      </c>
      <c r="C36">
        <v>0</v>
      </c>
      <c r="D36">
        <v>0</v>
      </c>
      <c r="E36">
        <v>0</v>
      </c>
      <c r="F36">
        <v>10</v>
      </c>
      <c r="G36" t="s">
        <v>103</v>
      </c>
    </row>
    <row r="37" spans="1:7" x14ac:dyDescent="0.25">
      <c r="A37" t="s">
        <v>138</v>
      </c>
      <c r="B37">
        <v>0</v>
      </c>
      <c r="C37">
        <v>0</v>
      </c>
      <c r="D37">
        <v>0</v>
      </c>
      <c r="E37">
        <v>0</v>
      </c>
      <c r="F37">
        <v>10</v>
      </c>
      <c r="G37" t="s">
        <v>103</v>
      </c>
    </row>
    <row r="38" spans="1:7" x14ac:dyDescent="0.25">
      <c r="A38" t="s">
        <v>139</v>
      </c>
      <c r="B38">
        <v>0</v>
      </c>
      <c r="C38">
        <v>0</v>
      </c>
      <c r="D38">
        <v>0</v>
      </c>
      <c r="E38">
        <v>0</v>
      </c>
      <c r="F38">
        <v>10</v>
      </c>
      <c r="G38" t="s">
        <v>103</v>
      </c>
    </row>
    <row r="39" spans="1:7" x14ac:dyDescent="0.25">
      <c r="A39" t="s">
        <v>140</v>
      </c>
      <c r="B39">
        <v>0</v>
      </c>
      <c r="C39">
        <v>0</v>
      </c>
      <c r="D39">
        <v>0</v>
      </c>
      <c r="E39">
        <v>0</v>
      </c>
      <c r="F39">
        <v>10</v>
      </c>
      <c r="G39" t="s">
        <v>103</v>
      </c>
    </row>
    <row r="40" spans="1:7" x14ac:dyDescent="0.25">
      <c r="A40" t="s">
        <v>141</v>
      </c>
      <c r="B40">
        <v>0</v>
      </c>
      <c r="C40">
        <v>0</v>
      </c>
      <c r="D40">
        <v>0</v>
      </c>
      <c r="E40">
        <v>0</v>
      </c>
      <c r="F40">
        <v>10</v>
      </c>
      <c r="G40" t="s">
        <v>103</v>
      </c>
    </row>
    <row r="41" spans="1:7" x14ac:dyDescent="0.25">
      <c r="A41" t="s">
        <v>142</v>
      </c>
      <c r="B41">
        <v>0</v>
      </c>
      <c r="C41">
        <v>0</v>
      </c>
      <c r="D41">
        <v>0</v>
      </c>
      <c r="E41">
        <v>0</v>
      </c>
      <c r="F41">
        <v>10</v>
      </c>
      <c r="G41" t="s">
        <v>103</v>
      </c>
    </row>
    <row r="42" spans="1:7" x14ac:dyDescent="0.25">
      <c r="A42" t="s">
        <v>143</v>
      </c>
      <c r="B42">
        <v>0</v>
      </c>
      <c r="C42">
        <v>0</v>
      </c>
      <c r="D42">
        <v>0</v>
      </c>
      <c r="E42">
        <v>0</v>
      </c>
      <c r="F42">
        <v>10</v>
      </c>
      <c r="G42" t="s">
        <v>103</v>
      </c>
    </row>
    <row r="43" spans="1:7" x14ac:dyDescent="0.25">
      <c r="A43" t="s">
        <v>144</v>
      </c>
      <c r="B43">
        <v>0</v>
      </c>
      <c r="C43">
        <v>0</v>
      </c>
      <c r="D43">
        <v>0</v>
      </c>
      <c r="E43">
        <v>0</v>
      </c>
      <c r="F43">
        <v>10</v>
      </c>
      <c r="G43" t="s">
        <v>103</v>
      </c>
    </row>
    <row r="44" spans="1:7" x14ac:dyDescent="0.25">
      <c r="A44" t="s">
        <v>145</v>
      </c>
      <c r="B44">
        <v>2.2000002861022949</v>
      </c>
      <c r="C44">
        <v>6.6303730445841742E-9</v>
      </c>
      <c r="D44">
        <v>0</v>
      </c>
      <c r="E44">
        <v>2.2000002861022949</v>
      </c>
      <c r="F44">
        <v>10</v>
      </c>
      <c r="G44" t="s">
        <v>103</v>
      </c>
    </row>
    <row r="45" spans="1:7" x14ac:dyDescent="0.25">
      <c r="A45" t="s">
        <v>146</v>
      </c>
      <c r="B45">
        <v>2.2000002861022949</v>
      </c>
      <c r="C45">
        <v>-3.3500174350410229E-8</v>
      </c>
      <c r="D45">
        <v>0</v>
      </c>
      <c r="E45">
        <v>2.2000002861022949</v>
      </c>
      <c r="F45">
        <v>10</v>
      </c>
      <c r="G45" t="s">
        <v>103</v>
      </c>
    </row>
    <row r="46" spans="1:7" x14ac:dyDescent="0.25">
      <c r="A46" t="s">
        <v>147</v>
      </c>
      <c r="B46">
        <v>2.2000002861022949</v>
      </c>
      <c r="C46">
        <v>-6.9974201635560521E-8</v>
      </c>
      <c r="D46">
        <v>0</v>
      </c>
      <c r="E46">
        <v>2.2000002861022958</v>
      </c>
      <c r="F46">
        <v>10</v>
      </c>
      <c r="G46" t="s">
        <v>103</v>
      </c>
    </row>
    <row r="47" spans="1:7" x14ac:dyDescent="0.25">
      <c r="A47" t="s">
        <v>148</v>
      </c>
      <c r="B47">
        <v>0</v>
      </c>
      <c r="C47">
        <v>0</v>
      </c>
      <c r="D47">
        <v>0</v>
      </c>
      <c r="E47">
        <v>0</v>
      </c>
      <c r="F47">
        <v>10</v>
      </c>
      <c r="G47" t="s">
        <v>103</v>
      </c>
    </row>
    <row r="48" spans="1:7" x14ac:dyDescent="0.25">
      <c r="A48" t="s">
        <v>149</v>
      </c>
      <c r="B48">
        <v>0</v>
      </c>
      <c r="C48">
        <v>0</v>
      </c>
      <c r="D48">
        <v>0</v>
      </c>
      <c r="E48">
        <v>0</v>
      </c>
      <c r="F48">
        <v>10</v>
      </c>
      <c r="G48" t="s">
        <v>103</v>
      </c>
    </row>
    <row r="49" spans="1:7" x14ac:dyDescent="0.25">
      <c r="A49" t="s">
        <v>150</v>
      </c>
      <c r="B49">
        <v>2.5000002384185791</v>
      </c>
      <c r="C49">
        <v>-1.5849072387251939E-7</v>
      </c>
      <c r="D49">
        <v>0</v>
      </c>
      <c r="E49">
        <v>2.500000238418584</v>
      </c>
      <c r="F49">
        <v>10</v>
      </c>
      <c r="G49" t="s">
        <v>103</v>
      </c>
    </row>
    <row r="50" spans="1:7" x14ac:dyDescent="0.25">
      <c r="A50" t="s">
        <v>151</v>
      </c>
      <c r="B50">
        <v>0</v>
      </c>
      <c r="C50">
        <v>0</v>
      </c>
      <c r="D50">
        <v>0</v>
      </c>
      <c r="E50">
        <v>0</v>
      </c>
      <c r="F50">
        <v>10</v>
      </c>
      <c r="G50" t="s">
        <v>103</v>
      </c>
    </row>
    <row r="51" spans="1:7" x14ac:dyDescent="0.25">
      <c r="A51" t="s">
        <v>152</v>
      </c>
      <c r="B51">
        <v>0</v>
      </c>
      <c r="C51">
        <v>0</v>
      </c>
      <c r="D51">
        <v>0</v>
      </c>
      <c r="E51">
        <v>0</v>
      </c>
      <c r="F51">
        <v>10</v>
      </c>
      <c r="G51" t="s">
        <v>103</v>
      </c>
    </row>
    <row r="52" spans="1:7" x14ac:dyDescent="0.25">
      <c r="A52" t="s">
        <v>153</v>
      </c>
      <c r="B52">
        <v>0</v>
      </c>
      <c r="C52">
        <v>0</v>
      </c>
      <c r="D52">
        <v>0</v>
      </c>
      <c r="E52">
        <v>0</v>
      </c>
      <c r="F52">
        <v>10</v>
      </c>
      <c r="G52" t="s">
        <v>103</v>
      </c>
    </row>
    <row r="53" spans="1:7" x14ac:dyDescent="0.25">
      <c r="A53" t="s">
        <v>154</v>
      </c>
      <c r="B53">
        <v>2.2000002861022949</v>
      </c>
      <c r="C53">
        <v>1.9714881058692971E-8</v>
      </c>
      <c r="D53">
        <v>0</v>
      </c>
      <c r="E53">
        <v>2.2000002861022949</v>
      </c>
      <c r="F53">
        <v>10</v>
      </c>
      <c r="G53" t="s">
        <v>103</v>
      </c>
    </row>
    <row r="54" spans="1:7" x14ac:dyDescent="0.25">
      <c r="A54" t="s">
        <v>155</v>
      </c>
      <c r="B54">
        <v>2.2000002861022949</v>
      </c>
      <c r="C54">
        <v>-6.6483231662249856E-8</v>
      </c>
      <c r="D54">
        <v>0</v>
      </c>
      <c r="E54">
        <v>2.2000002861022958</v>
      </c>
      <c r="F54">
        <v>10</v>
      </c>
      <c r="G54" t="s">
        <v>103</v>
      </c>
    </row>
    <row r="55" spans="1:7" x14ac:dyDescent="0.25">
      <c r="A55" t="s">
        <v>156</v>
      </c>
      <c r="B55">
        <v>2.2000002861022949</v>
      </c>
      <c r="C55">
        <v>-1.4173849651836579E-7</v>
      </c>
      <c r="D55">
        <v>0</v>
      </c>
      <c r="E55">
        <v>2.2000002861022989</v>
      </c>
      <c r="F55">
        <v>10</v>
      </c>
      <c r="G55" t="s">
        <v>103</v>
      </c>
    </row>
    <row r="56" spans="1:7" x14ac:dyDescent="0.25">
      <c r="A56" t="s">
        <v>157</v>
      </c>
      <c r="B56">
        <v>0</v>
      </c>
      <c r="C56">
        <v>0</v>
      </c>
      <c r="D56">
        <v>0</v>
      </c>
      <c r="E56">
        <v>0</v>
      </c>
      <c r="F56">
        <v>10</v>
      </c>
      <c r="G56" t="s">
        <v>103</v>
      </c>
    </row>
    <row r="57" spans="1:7" x14ac:dyDescent="0.25">
      <c r="A57" t="s">
        <v>158</v>
      </c>
      <c r="B57">
        <v>0</v>
      </c>
      <c r="C57">
        <v>0</v>
      </c>
      <c r="D57">
        <v>0</v>
      </c>
      <c r="E57">
        <v>0</v>
      </c>
      <c r="F57">
        <v>10</v>
      </c>
      <c r="G57" t="s">
        <v>103</v>
      </c>
    </row>
    <row r="58" spans="1:7" x14ac:dyDescent="0.25">
      <c r="A58" t="s">
        <v>159</v>
      </c>
      <c r="B58">
        <v>0</v>
      </c>
      <c r="C58">
        <v>0</v>
      </c>
      <c r="D58">
        <v>0</v>
      </c>
      <c r="E58">
        <v>0</v>
      </c>
      <c r="F58">
        <v>10</v>
      </c>
      <c r="G58" t="s">
        <v>103</v>
      </c>
    </row>
    <row r="59" spans="1:7" x14ac:dyDescent="0.25">
      <c r="A59" t="s">
        <v>160</v>
      </c>
      <c r="B59">
        <v>0</v>
      </c>
      <c r="C59">
        <v>0</v>
      </c>
      <c r="D59">
        <v>0</v>
      </c>
      <c r="E59">
        <v>0</v>
      </c>
      <c r="F59">
        <v>10</v>
      </c>
      <c r="G59" t="s">
        <v>103</v>
      </c>
    </row>
    <row r="60" spans="1:7" x14ac:dyDescent="0.25">
      <c r="A60" t="s">
        <v>161</v>
      </c>
      <c r="B60">
        <v>0</v>
      </c>
      <c r="C60">
        <v>0</v>
      </c>
      <c r="D60">
        <v>0</v>
      </c>
      <c r="E60">
        <v>0</v>
      </c>
      <c r="F60">
        <v>10</v>
      </c>
      <c r="G60" t="s">
        <v>103</v>
      </c>
    </row>
    <row r="61" spans="1:7" x14ac:dyDescent="0.25">
      <c r="A61" t="s">
        <v>162</v>
      </c>
      <c r="B61">
        <v>0</v>
      </c>
      <c r="C61">
        <v>0</v>
      </c>
      <c r="D61">
        <v>0</v>
      </c>
      <c r="E61">
        <v>0</v>
      </c>
      <c r="F61">
        <v>10</v>
      </c>
      <c r="G61" t="s">
        <v>103</v>
      </c>
    </row>
    <row r="62" spans="1:7" x14ac:dyDescent="0.25">
      <c r="A62" t="s">
        <v>163</v>
      </c>
      <c r="B62">
        <v>2.2000002861022949</v>
      </c>
      <c r="C62">
        <v>1.9609951394198671E-8</v>
      </c>
      <c r="D62">
        <v>0</v>
      </c>
      <c r="E62">
        <v>2.2000002861022949</v>
      </c>
      <c r="F62">
        <v>10</v>
      </c>
      <c r="G62" t="s">
        <v>103</v>
      </c>
    </row>
    <row r="63" spans="1:7" x14ac:dyDescent="0.25">
      <c r="A63" t="s">
        <v>164</v>
      </c>
      <c r="B63">
        <v>2.2000002861022949</v>
      </c>
      <c r="C63">
        <v>-6.6707819769331461E-8</v>
      </c>
      <c r="D63">
        <v>0</v>
      </c>
      <c r="E63">
        <v>2.2000002861022958</v>
      </c>
      <c r="F63">
        <v>10</v>
      </c>
      <c r="G63" t="s">
        <v>103</v>
      </c>
    </row>
    <row r="64" spans="1:7" x14ac:dyDescent="0.25">
      <c r="A64" t="s">
        <v>165</v>
      </c>
      <c r="B64">
        <v>2.2000002861022949</v>
      </c>
      <c r="C64">
        <v>-1.4033506388205769E-7</v>
      </c>
      <c r="D64">
        <v>0</v>
      </c>
      <c r="E64">
        <v>2.2000002861022989</v>
      </c>
      <c r="F64">
        <v>10</v>
      </c>
      <c r="G64" t="s">
        <v>103</v>
      </c>
    </row>
    <row r="65" spans="1:7" x14ac:dyDescent="0.25">
      <c r="A65" t="s">
        <v>166</v>
      </c>
      <c r="B65">
        <v>0</v>
      </c>
      <c r="C65">
        <v>0</v>
      </c>
      <c r="D65">
        <v>0</v>
      </c>
      <c r="E65">
        <v>0</v>
      </c>
      <c r="F65">
        <v>10</v>
      </c>
      <c r="G65" t="s">
        <v>103</v>
      </c>
    </row>
    <row r="66" spans="1:7" x14ac:dyDescent="0.25">
      <c r="A66" t="s">
        <v>167</v>
      </c>
      <c r="B66">
        <v>0</v>
      </c>
      <c r="C66">
        <v>0</v>
      </c>
      <c r="D66">
        <v>0</v>
      </c>
      <c r="E66">
        <v>0</v>
      </c>
      <c r="F66">
        <v>10</v>
      </c>
      <c r="G66" t="s">
        <v>103</v>
      </c>
    </row>
    <row r="67" spans="1:7" x14ac:dyDescent="0.25">
      <c r="A67" t="s">
        <v>168</v>
      </c>
      <c r="B67">
        <v>0</v>
      </c>
      <c r="C67">
        <v>0</v>
      </c>
      <c r="D67">
        <v>0</v>
      </c>
      <c r="E67">
        <v>0</v>
      </c>
      <c r="F67">
        <v>10</v>
      </c>
      <c r="G67" t="s">
        <v>103</v>
      </c>
    </row>
    <row r="68" spans="1:7" x14ac:dyDescent="0.25">
      <c r="A68" t="s">
        <v>169</v>
      </c>
      <c r="B68">
        <v>2.2000002861022949</v>
      </c>
      <c r="C68">
        <v>2.875160425135544E-8</v>
      </c>
      <c r="D68">
        <v>0</v>
      </c>
      <c r="E68">
        <v>2.2000002861022949</v>
      </c>
      <c r="F68">
        <v>10</v>
      </c>
      <c r="G68" t="s">
        <v>103</v>
      </c>
    </row>
    <row r="69" spans="1:7" x14ac:dyDescent="0.25">
      <c r="A69" t="s">
        <v>170</v>
      </c>
      <c r="B69">
        <v>2.2000002861022949</v>
      </c>
      <c r="C69">
        <v>-9.1386304177255157E-8</v>
      </c>
      <c r="D69">
        <v>0</v>
      </c>
      <c r="E69">
        <v>2.2000002861022971</v>
      </c>
      <c r="F69">
        <v>10</v>
      </c>
      <c r="G69" t="s">
        <v>103</v>
      </c>
    </row>
    <row r="70" spans="1:7" x14ac:dyDescent="0.25">
      <c r="A70" t="s">
        <v>171</v>
      </c>
      <c r="B70">
        <v>2.2000002861022949</v>
      </c>
      <c r="C70">
        <v>-1.934908295507983E-7</v>
      </c>
      <c r="D70">
        <v>0</v>
      </c>
      <c r="E70">
        <v>2.2000002861023029</v>
      </c>
      <c r="F70">
        <v>10</v>
      </c>
      <c r="G70" t="s">
        <v>103</v>
      </c>
    </row>
    <row r="71" spans="1:7" x14ac:dyDescent="0.25">
      <c r="A71" t="s">
        <v>172</v>
      </c>
      <c r="B71">
        <v>0</v>
      </c>
      <c r="C71">
        <v>0</v>
      </c>
      <c r="D71">
        <v>0</v>
      </c>
      <c r="E71">
        <v>0</v>
      </c>
      <c r="F71">
        <v>10</v>
      </c>
      <c r="G71" t="s">
        <v>103</v>
      </c>
    </row>
    <row r="72" spans="1:7" x14ac:dyDescent="0.25">
      <c r="A72" t="s">
        <v>173</v>
      </c>
      <c r="B72">
        <v>0</v>
      </c>
      <c r="C72">
        <v>0</v>
      </c>
      <c r="D72">
        <v>0</v>
      </c>
      <c r="E72">
        <v>0</v>
      </c>
      <c r="F72">
        <v>10</v>
      </c>
      <c r="G72" t="s">
        <v>103</v>
      </c>
    </row>
    <row r="73" spans="1:7" x14ac:dyDescent="0.25">
      <c r="A73" t="s">
        <v>174</v>
      </c>
      <c r="B73">
        <v>0</v>
      </c>
      <c r="C73">
        <v>0</v>
      </c>
      <c r="D73">
        <v>0</v>
      </c>
      <c r="E73">
        <v>0</v>
      </c>
      <c r="F73">
        <v>10</v>
      </c>
      <c r="G73" t="s">
        <v>103</v>
      </c>
    </row>
    <row r="74" spans="1:7" x14ac:dyDescent="0.25">
      <c r="A74" t="s">
        <v>175</v>
      </c>
      <c r="B74">
        <v>2.2000002861022949</v>
      </c>
      <c r="C74">
        <v>2.9716416104450892E-8</v>
      </c>
      <c r="D74">
        <v>0</v>
      </c>
      <c r="E74">
        <v>2.2000002861022949</v>
      </c>
      <c r="F74">
        <v>10</v>
      </c>
      <c r="G74" t="s">
        <v>103</v>
      </c>
    </row>
    <row r="75" spans="1:7" x14ac:dyDescent="0.25">
      <c r="A75" t="s">
        <v>176</v>
      </c>
      <c r="B75">
        <v>2.2000002861022949</v>
      </c>
      <c r="C75">
        <v>-9.2523241798850062E-8</v>
      </c>
      <c r="D75">
        <v>0</v>
      </c>
      <c r="E75">
        <v>2.2000002861022971</v>
      </c>
      <c r="F75">
        <v>10</v>
      </c>
      <c r="G75" t="s">
        <v>103</v>
      </c>
    </row>
    <row r="76" spans="1:7" x14ac:dyDescent="0.25">
      <c r="A76" t="s">
        <v>177</v>
      </c>
      <c r="B76">
        <v>2.2000002861022949</v>
      </c>
      <c r="C76">
        <v>-1.9656325337657121E-7</v>
      </c>
      <c r="D76">
        <v>0</v>
      </c>
      <c r="E76">
        <v>2.2000002861023038</v>
      </c>
      <c r="F76">
        <v>10</v>
      </c>
      <c r="G76" t="s">
        <v>103</v>
      </c>
    </row>
    <row r="77" spans="1:7" x14ac:dyDescent="0.25">
      <c r="A77" t="s">
        <v>178</v>
      </c>
      <c r="B77">
        <v>0</v>
      </c>
      <c r="C77">
        <v>0</v>
      </c>
      <c r="D77">
        <v>0</v>
      </c>
      <c r="E77">
        <v>0</v>
      </c>
      <c r="F77">
        <v>10</v>
      </c>
      <c r="G77" t="s">
        <v>103</v>
      </c>
    </row>
    <row r="78" spans="1:7" x14ac:dyDescent="0.25">
      <c r="A78" t="s">
        <v>179</v>
      </c>
      <c r="B78">
        <v>0</v>
      </c>
      <c r="C78">
        <v>0</v>
      </c>
      <c r="D78">
        <v>0</v>
      </c>
      <c r="E78">
        <v>0</v>
      </c>
      <c r="F78">
        <v>10</v>
      </c>
      <c r="G78" t="s">
        <v>103</v>
      </c>
    </row>
    <row r="79" spans="1:7" x14ac:dyDescent="0.25">
      <c r="A79" t="s">
        <v>180</v>
      </c>
      <c r="B79">
        <v>0</v>
      </c>
      <c r="C79">
        <v>0</v>
      </c>
      <c r="D79">
        <v>0</v>
      </c>
      <c r="E79">
        <v>0</v>
      </c>
      <c r="F79">
        <v>10</v>
      </c>
      <c r="G79" t="s">
        <v>103</v>
      </c>
    </row>
    <row r="80" spans="1:7" x14ac:dyDescent="0.25">
      <c r="A80" t="s">
        <v>181</v>
      </c>
      <c r="B80">
        <v>0</v>
      </c>
      <c r="C80">
        <v>0</v>
      </c>
      <c r="D80">
        <v>0</v>
      </c>
      <c r="E80">
        <v>0</v>
      </c>
      <c r="F80">
        <v>10</v>
      </c>
      <c r="G80" t="s">
        <v>103</v>
      </c>
    </row>
    <row r="81" spans="1:7" x14ac:dyDescent="0.25">
      <c r="A81" t="s">
        <v>182</v>
      </c>
      <c r="B81">
        <v>0</v>
      </c>
      <c r="C81">
        <v>0</v>
      </c>
      <c r="D81">
        <v>0</v>
      </c>
      <c r="E81">
        <v>0</v>
      </c>
      <c r="F81">
        <v>10</v>
      </c>
      <c r="G81" t="s">
        <v>103</v>
      </c>
    </row>
    <row r="82" spans="1:7" x14ac:dyDescent="0.25">
      <c r="A82" t="s">
        <v>183</v>
      </c>
      <c r="B82">
        <v>0</v>
      </c>
      <c r="C82">
        <v>0</v>
      </c>
      <c r="D82">
        <v>0</v>
      </c>
      <c r="E82">
        <v>0</v>
      </c>
      <c r="F82">
        <v>10</v>
      </c>
      <c r="G82" t="s">
        <v>103</v>
      </c>
    </row>
    <row r="83" spans="1:7" x14ac:dyDescent="0.25">
      <c r="A83" t="s">
        <v>184</v>
      </c>
      <c r="B83">
        <v>2.2000002861022949</v>
      </c>
      <c r="C83">
        <v>5.2933494971522478E-8</v>
      </c>
      <c r="D83">
        <v>0</v>
      </c>
      <c r="E83">
        <v>2.2000002861022949</v>
      </c>
      <c r="F83">
        <v>10</v>
      </c>
      <c r="G83" t="s">
        <v>103</v>
      </c>
    </row>
    <row r="84" spans="1:7" x14ac:dyDescent="0.25">
      <c r="A84" t="s">
        <v>185</v>
      </c>
      <c r="B84">
        <v>2.2000002861022949</v>
      </c>
      <c r="C84">
        <v>-1.5287106933696681E-7</v>
      </c>
      <c r="D84">
        <v>0</v>
      </c>
      <c r="E84">
        <v>2.2000002861022998</v>
      </c>
      <c r="F84">
        <v>10</v>
      </c>
      <c r="G84" t="s">
        <v>103</v>
      </c>
    </row>
    <row r="85" spans="1:7" x14ac:dyDescent="0.25">
      <c r="A85" t="s">
        <v>186</v>
      </c>
      <c r="B85">
        <v>2.2000002861022949</v>
      </c>
      <c r="C85">
        <v>-3.375001497891994E-7</v>
      </c>
      <c r="D85">
        <v>0</v>
      </c>
      <c r="E85">
        <v>2.2000002861023211</v>
      </c>
      <c r="F85">
        <v>10</v>
      </c>
      <c r="G85" t="s">
        <v>103</v>
      </c>
    </row>
    <row r="86" spans="1:7" x14ac:dyDescent="0.25">
      <c r="A86" t="s">
        <v>187</v>
      </c>
      <c r="B86">
        <v>0</v>
      </c>
      <c r="C86">
        <v>0</v>
      </c>
      <c r="D86">
        <v>0</v>
      </c>
      <c r="E86">
        <v>0</v>
      </c>
      <c r="F86">
        <v>10</v>
      </c>
      <c r="G86" t="s">
        <v>103</v>
      </c>
    </row>
    <row r="87" spans="1:7" x14ac:dyDescent="0.25">
      <c r="A87" t="s">
        <v>188</v>
      </c>
      <c r="B87">
        <v>0</v>
      </c>
      <c r="C87">
        <v>0</v>
      </c>
      <c r="D87">
        <v>0</v>
      </c>
      <c r="E87">
        <v>0</v>
      </c>
      <c r="F87">
        <v>10</v>
      </c>
      <c r="G87" t="s">
        <v>103</v>
      </c>
    </row>
    <row r="88" spans="1:7" x14ac:dyDescent="0.25">
      <c r="A88" t="s">
        <v>189</v>
      </c>
      <c r="B88">
        <v>0</v>
      </c>
      <c r="C88">
        <v>0</v>
      </c>
      <c r="D88">
        <v>0</v>
      </c>
      <c r="E88">
        <v>0</v>
      </c>
      <c r="F88">
        <v>10</v>
      </c>
      <c r="G88" t="s">
        <v>103</v>
      </c>
    </row>
    <row r="89" spans="1:7" x14ac:dyDescent="0.25">
      <c r="A89" t="s">
        <v>190</v>
      </c>
      <c r="B89">
        <v>2.2000002861022949</v>
      </c>
      <c r="C89">
        <v>3.9539788399452678E-8</v>
      </c>
      <c r="D89">
        <v>0</v>
      </c>
      <c r="E89">
        <v>2.2000002861022949</v>
      </c>
      <c r="F89">
        <v>10</v>
      </c>
      <c r="G89" t="s">
        <v>103</v>
      </c>
    </row>
    <row r="90" spans="1:7" x14ac:dyDescent="0.25">
      <c r="A90" t="s">
        <v>191</v>
      </c>
      <c r="B90">
        <v>2.2000002861022949</v>
      </c>
      <c r="C90">
        <v>-1.197117310879417E-7</v>
      </c>
      <c r="D90">
        <v>0</v>
      </c>
      <c r="E90">
        <v>2.200000286102298</v>
      </c>
      <c r="F90">
        <v>10</v>
      </c>
      <c r="G90" t="s">
        <v>103</v>
      </c>
    </row>
    <row r="91" spans="1:7" x14ac:dyDescent="0.25">
      <c r="A91" t="s">
        <v>192</v>
      </c>
      <c r="B91">
        <v>2.2000002861022949</v>
      </c>
      <c r="C91">
        <v>-2.5721990769972392E-7</v>
      </c>
      <c r="D91">
        <v>0</v>
      </c>
      <c r="E91">
        <v>2.20000028610231</v>
      </c>
      <c r="F91">
        <v>10</v>
      </c>
      <c r="G91" t="s">
        <v>103</v>
      </c>
    </row>
    <row r="92" spans="1:7" x14ac:dyDescent="0.25">
      <c r="A92" t="s">
        <v>193</v>
      </c>
      <c r="B92">
        <v>0</v>
      </c>
      <c r="C92">
        <v>0</v>
      </c>
      <c r="D92">
        <v>0</v>
      </c>
      <c r="E92">
        <v>0</v>
      </c>
      <c r="F92">
        <v>10</v>
      </c>
      <c r="G92" t="s">
        <v>103</v>
      </c>
    </row>
    <row r="93" spans="1:7" x14ac:dyDescent="0.25">
      <c r="A93" t="s">
        <v>194</v>
      </c>
      <c r="B93">
        <v>0</v>
      </c>
      <c r="C93">
        <v>0</v>
      </c>
      <c r="D93">
        <v>0</v>
      </c>
      <c r="E93">
        <v>0</v>
      </c>
      <c r="F93">
        <v>10</v>
      </c>
      <c r="G93" t="s">
        <v>103</v>
      </c>
    </row>
    <row r="94" spans="1:7" x14ac:dyDescent="0.25">
      <c r="A94" t="s">
        <v>195</v>
      </c>
      <c r="B94">
        <v>2.5000002384185791</v>
      </c>
      <c r="C94">
        <v>-5.3108131520956947E-7</v>
      </c>
      <c r="D94">
        <v>0</v>
      </c>
      <c r="E94">
        <v>2.5000002384186359</v>
      </c>
      <c r="F94">
        <v>10</v>
      </c>
      <c r="G94" t="s">
        <v>103</v>
      </c>
    </row>
    <row r="95" spans="1:7" x14ac:dyDescent="0.25">
      <c r="A95" t="s">
        <v>196</v>
      </c>
      <c r="B95">
        <v>0</v>
      </c>
      <c r="C95">
        <v>0</v>
      </c>
      <c r="D95">
        <v>0</v>
      </c>
      <c r="E95">
        <v>0</v>
      </c>
      <c r="F95">
        <v>10</v>
      </c>
      <c r="G95" t="s">
        <v>103</v>
      </c>
    </row>
    <row r="96" spans="1:7" x14ac:dyDescent="0.25">
      <c r="A96" t="s">
        <v>197</v>
      </c>
      <c r="B96">
        <v>0</v>
      </c>
      <c r="C96">
        <v>0</v>
      </c>
      <c r="D96">
        <v>0</v>
      </c>
      <c r="E96">
        <v>0</v>
      </c>
      <c r="F96">
        <v>10</v>
      </c>
      <c r="G96" t="s">
        <v>103</v>
      </c>
    </row>
    <row r="97" spans="1:7" x14ac:dyDescent="0.25">
      <c r="A97" t="s">
        <v>198</v>
      </c>
      <c r="B97">
        <v>0</v>
      </c>
      <c r="C97">
        <v>0</v>
      </c>
      <c r="D97">
        <v>0</v>
      </c>
      <c r="E97">
        <v>0</v>
      </c>
      <c r="F97">
        <v>10</v>
      </c>
      <c r="G97" t="s">
        <v>103</v>
      </c>
    </row>
    <row r="98" spans="1:7" x14ac:dyDescent="0.25">
      <c r="A98" t="s">
        <v>199</v>
      </c>
      <c r="B98">
        <v>2.2000002861022949</v>
      </c>
      <c r="C98">
        <v>8.015738333505551E-8</v>
      </c>
      <c r="D98">
        <v>0</v>
      </c>
      <c r="E98">
        <v>2.2000002861022958</v>
      </c>
      <c r="F98">
        <v>10</v>
      </c>
      <c r="G98" t="s">
        <v>103</v>
      </c>
    </row>
    <row r="99" spans="1:7" x14ac:dyDescent="0.25">
      <c r="A99" t="s">
        <v>200</v>
      </c>
      <c r="B99">
        <v>2.2000002861022949</v>
      </c>
      <c r="C99">
        <v>-2.2079321454916009E-7</v>
      </c>
      <c r="D99">
        <v>0</v>
      </c>
      <c r="E99">
        <v>2.200000286102306</v>
      </c>
      <c r="F99">
        <v>10</v>
      </c>
      <c r="G99" t="s">
        <v>103</v>
      </c>
    </row>
    <row r="100" spans="1:7" x14ac:dyDescent="0.25">
      <c r="A100" t="s">
        <v>201</v>
      </c>
      <c r="B100">
        <v>2.2000002861022949</v>
      </c>
      <c r="C100">
        <v>-5.0446158332782354E-7</v>
      </c>
      <c r="D100">
        <v>0</v>
      </c>
      <c r="E100">
        <v>2.2000002861023531</v>
      </c>
      <c r="F100">
        <v>10</v>
      </c>
      <c r="G100" t="s">
        <v>103</v>
      </c>
    </row>
    <row r="101" spans="1:7" x14ac:dyDescent="0.25">
      <c r="A101" t="s">
        <v>202</v>
      </c>
      <c r="B101">
        <v>0</v>
      </c>
      <c r="C101">
        <v>0</v>
      </c>
      <c r="D101">
        <v>0</v>
      </c>
      <c r="E101">
        <v>0</v>
      </c>
      <c r="F101">
        <v>10</v>
      </c>
      <c r="G101" t="s">
        <v>103</v>
      </c>
    </row>
    <row r="102" spans="1:7" x14ac:dyDescent="0.25">
      <c r="A102" t="s">
        <v>203</v>
      </c>
      <c r="B102">
        <v>0</v>
      </c>
      <c r="C102">
        <v>0</v>
      </c>
      <c r="D102">
        <v>0</v>
      </c>
      <c r="E102">
        <v>0</v>
      </c>
      <c r="F102">
        <v>10</v>
      </c>
      <c r="G102" t="s">
        <v>103</v>
      </c>
    </row>
    <row r="103" spans="1:7" x14ac:dyDescent="0.25">
      <c r="A103" t="s">
        <v>204</v>
      </c>
      <c r="B103">
        <v>0</v>
      </c>
      <c r="C103">
        <v>0</v>
      </c>
      <c r="D103">
        <v>0</v>
      </c>
      <c r="E103">
        <v>0</v>
      </c>
      <c r="F103">
        <v>10</v>
      </c>
      <c r="G103" t="s">
        <v>103</v>
      </c>
    </row>
    <row r="104" spans="1:7" x14ac:dyDescent="0.25">
      <c r="A104" t="s">
        <v>205</v>
      </c>
      <c r="B104">
        <v>2.2000002861022949</v>
      </c>
      <c r="C104">
        <v>2.072292135344803E-9</v>
      </c>
      <c r="D104">
        <v>0</v>
      </c>
      <c r="E104">
        <v>2.2000002861022949</v>
      </c>
      <c r="F104">
        <v>10</v>
      </c>
      <c r="G104" t="s">
        <v>103</v>
      </c>
    </row>
    <row r="105" spans="1:7" x14ac:dyDescent="0.25">
      <c r="A105" t="s">
        <v>206</v>
      </c>
      <c r="B105">
        <v>2.2000002861022949</v>
      </c>
      <c r="C105">
        <v>-1.977492262098211E-8</v>
      </c>
      <c r="D105">
        <v>0</v>
      </c>
      <c r="E105">
        <v>2.2000002861022949</v>
      </c>
      <c r="F105">
        <v>10</v>
      </c>
      <c r="G105" t="s">
        <v>103</v>
      </c>
    </row>
    <row r="106" spans="1:7" x14ac:dyDescent="0.25">
      <c r="A106" t="s">
        <v>207</v>
      </c>
      <c r="B106">
        <v>2.2000002861022949</v>
      </c>
      <c r="C106">
        <v>-4.2936347619676463E-8</v>
      </c>
      <c r="D106">
        <v>0</v>
      </c>
      <c r="E106">
        <v>2.2000002861022949</v>
      </c>
      <c r="F106">
        <v>10</v>
      </c>
      <c r="G106" t="s">
        <v>103</v>
      </c>
    </row>
    <row r="107" spans="1:7" x14ac:dyDescent="0.25">
      <c r="A107" t="s">
        <v>208</v>
      </c>
      <c r="B107">
        <v>2.2000002861022949</v>
      </c>
      <c r="C107">
        <v>1.056305419290989E-7</v>
      </c>
      <c r="D107">
        <v>0</v>
      </c>
      <c r="E107">
        <v>2.200000286102298</v>
      </c>
      <c r="F107">
        <v>10</v>
      </c>
      <c r="G107" t="s">
        <v>103</v>
      </c>
    </row>
    <row r="108" spans="1:7" x14ac:dyDescent="0.25">
      <c r="A108" t="s">
        <v>209</v>
      </c>
      <c r="B108">
        <v>2.2000002861022949</v>
      </c>
      <c r="C108">
        <v>-2.8657790420230639E-7</v>
      </c>
      <c r="D108">
        <v>0</v>
      </c>
      <c r="E108">
        <v>2.200000286102314</v>
      </c>
      <c r="F108">
        <v>10</v>
      </c>
      <c r="G108" t="s">
        <v>103</v>
      </c>
    </row>
    <row r="109" spans="1:7" x14ac:dyDescent="0.25">
      <c r="A109" t="s">
        <v>210</v>
      </c>
      <c r="B109">
        <v>2.2000002861022949</v>
      </c>
      <c r="C109">
        <v>-6.6405711962244651E-7</v>
      </c>
      <c r="D109">
        <v>0</v>
      </c>
      <c r="E109">
        <v>2.2000002861023948</v>
      </c>
      <c r="F109">
        <v>10</v>
      </c>
      <c r="G109" t="s">
        <v>103</v>
      </c>
    </row>
    <row r="110" spans="1:7" x14ac:dyDescent="0.25">
      <c r="A110" t="s">
        <v>211</v>
      </c>
      <c r="B110">
        <v>2.2000002861022949</v>
      </c>
      <c r="C110">
        <v>9.7014371073604152E-8</v>
      </c>
      <c r="D110">
        <v>0</v>
      </c>
      <c r="E110">
        <v>2.2000002861022971</v>
      </c>
      <c r="F110">
        <v>10</v>
      </c>
      <c r="G110" t="s">
        <v>103</v>
      </c>
    </row>
    <row r="111" spans="1:7" x14ac:dyDescent="0.25">
      <c r="A111" t="s">
        <v>212</v>
      </c>
      <c r="B111">
        <v>2.2000002861022949</v>
      </c>
      <c r="C111">
        <v>-2.5544053569408198E-7</v>
      </c>
      <c r="D111">
        <v>0</v>
      </c>
      <c r="E111">
        <v>2.20000028610231</v>
      </c>
      <c r="F111">
        <v>10</v>
      </c>
      <c r="G111" t="s">
        <v>103</v>
      </c>
    </row>
    <row r="112" spans="1:7" x14ac:dyDescent="0.25">
      <c r="A112" t="s">
        <v>213</v>
      </c>
      <c r="B112">
        <v>2.2000002861022949</v>
      </c>
      <c r="C112">
        <v>-5.9501240754512386E-7</v>
      </c>
      <c r="D112">
        <v>0</v>
      </c>
      <c r="E112">
        <v>2.2000002861023749</v>
      </c>
      <c r="F112">
        <v>10</v>
      </c>
      <c r="G112" t="s">
        <v>103</v>
      </c>
    </row>
    <row r="113" spans="1:7" x14ac:dyDescent="0.25">
      <c r="A113" t="s">
        <v>214</v>
      </c>
      <c r="B113">
        <v>0</v>
      </c>
      <c r="C113">
        <v>0</v>
      </c>
      <c r="D113">
        <v>0</v>
      </c>
      <c r="E113">
        <v>0</v>
      </c>
      <c r="F113">
        <v>10</v>
      </c>
      <c r="G113" t="s">
        <v>103</v>
      </c>
    </row>
    <row r="114" spans="1:7" x14ac:dyDescent="0.25">
      <c r="A114" t="s">
        <v>215</v>
      </c>
      <c r="B114">
        <v>0</v>
      </c>
      <c r="C114">
        <v>0</v>
      </c>
      <c r="D114">
        <v>0</v>
      </c>
      <c r="E114">
        <v>0</v>
      </c>
      <c r="F114">
        <v>10</v>
      </c>
      <c r="G114" t="s">
        <v>103</v>
      </c>
    </row>
    <row r="115" spans="1:7" x14ac:dyDescent="0.25">
      <c r="A115" t="s">
        <v>216</v>
      </c>
      <c r="B115">
        <v>0</v>
      </c>
      <c r="C115">
        <v>0</v>
      </c>
      <c r="D115">
        <v>0</v>
      </c>
      <c r="E115">
        <v>0</v>
      </c>
      <c r="F115">
        <v>10</v>
      </c>
      <c r="G115" t="s">
        <v>103</v>
      </c>
    </row>
    <row r="116" spans="1:7" x14ac:dyDescent="0.25">
      <c r="A116" t="s">
        <v>217</v>
      </c>
      <c r="B116">
        <v>2.2000002861022949</v>
      </c>
      <c r="C116">
        <v>9.7454714148107843E-8</v>
      </c>
      <c r="D116">
        <v>0</v>
      </c>
      <c r="E116">
        <v>2.2000002861022971</v>
      </c>
      <c r="F116">
        <v>10</v>
      </c>
      <c r="G116" t="s">
        <v>103</v>
      </c>
    </row>
    <row r="117" spans="1:7" x14ac:dyDescent="0.25">
      <c r="A117" t="s">
        <v>218</v>
      </c>
      <c r="B117">
        <v>2.2000002861022949</v>
      </c>
      <c r="C117">
        <v>-2.6908448606608143E-7</v>
      </c>
      <c r="D117">
        <v>0</v>
      </c>
      <c r="E117">
        <v>2.2000002861023109</v>
      </c>
      <c r="F117">
        <v>10</v>
      </c>
      <c r="G117" t="s">
        <v>103</v>
      </c>
    </row>
    <row r="118" spans="1:7" x14ac:dyDescent="0.25">
      <c r="A118" t="s">
        <v>219</v>
      </c>
      <c r="B118">
        <v>2.2000002861022949</v>
      </c>
      <c r="C118">
        <v>-5.9759265215684565E-7</v>
      </c>
      <c r="D118">
        <v>0</v>
      </c>
      <c r="E118">
        <v>2.2000002861023762</v>
      </c>
      <c r="F118">
        <v>10</v>
      </c>
      <c r="G118" t="s">
        <v>103</v>
      </c>
    </row>
    <row r="119" spans="1:7" x14ac:dyDescent="0.25">
      <c r="A119" t="s">
        <v>220</v>
      </c>
      <c r="B119">
        <v>0</v>
      </c>
      <c r="C119">
        <v>0</v>
      </c>
      <c r="D119">
        <v>0</v>
      </c>
      <c r="E119">
        <v>0</v>
      </c>
      <c r="F119">
        <v>10</v>
      </c>
      <c r="G119" t="s">
        <v>103</v>
      </c>
    </row>
    <row r="120" spans="1:7" x14ac:dyDescent="0.25">
      <c r="A120" t="s">
        <v>221</v>
      </c>
      <c r="B120">
        <v>0</v>
      </c>
      <c r="C120">
        <v>0</v>
      </c>
      <c r="D120">
        <v>0</v>
      </c>
      <c r="E120">
        <v>0</v>
      </c>
      <c r="F120">
        <v>10</v>
      </c>
      <c r="G120" t="s">
        <v>103</v>
      </c>
    </row>
    <row r="121" spans="1:7" x14ac:dyDescent="0.25">
      <c r="A121" t="s">
        <v>222</v>
      </c>
      <c r="B121">
        <v>0</v>
      </c>
      <c r="C121">
        <v>0</v>
      </c>
      <c r="D121">
        <v>0</v>
      </c>
      <c r="E121">
        <v>0</v>
      </c>
      <c r="F121">
        <v>10</v>
      </c>
      <c r="G121" t="s">
        <v>103</v>
      </c>
    </row>
    <row r="122" spans="1:7" x14ac:dyDescent="0.25">
      <c r="A122" t="s">
        <v>223</v>
      </c>
      <c r="B122">
        <v>2.2000002861022949</v>
      </c>
      <c r="C122">
        <v>9.5890215906502263E-8</v>
      </c>
      <c r="D122">
        <v>0</v>
      </c>
      <c r="E122">
        <v>2.2000002861022971</v>
      </c>
      <c r="F122">
        <v>10</v>
      </c>
      <c r="G122" t="s">
        <v>103</v>
      </c>
    </row>
    <row r="123" spans="1:7" x14ac:dyDescent="0.25">
      <c r="A123" t="s">
        <v>224</v>
      </c>
      <c r="B123">
        <v>2.2000002861022949</v>
      </c>
      <c r="C123">
        <v>-2.6934942243175141E-7</v>
      </c>
      <c r="D123">
        <v>0</v>
      </c>
      <c r="E123">
        <v>2.2000002861023109</v>
      </c>
      <c r="F123">
        <v>10</v>
      </c>
      <c r="G123" t="s">
        <v>103</v>
      </c>
    </row>
    <row r="124" spans="1:7" x14ac:dyDescent="0.25">
      <c r="A124" t="s">
        <v>225</v>
      </c>
      <c r="B124">
        <v>2.2000002861022949</v>
      </c>
      <c r="C124">
        <v>-5.9616866752871622E-7</v>
      </c>
      <c r="D124">
        <v>0</v>
      </c>
      <c r="E124">
        <v>2.2000002861023762</v>
      </c>
      <c r="F124">
        <v>10</v>
      </c>
      <c r="G124" t="s">
        <v>103</v>
      </c>
    </row>
    <row r="125" spans="1:7" x14ac:dyDescent="0.25">
      <c r="A125" t="s">
        <v>226</v>
      </c>
      <c r="B125">
        <v>0</v>
      </c>
      <c r="C125">
        <v>0</v>
      </c>
      <c r="D125">
        <v>0</v>
      </c>
      <c r="E125">
        <v>0</v>
      </c>
      <c r="F125">
        <v>10</v>
      </c>
      <c r="G125" t="s">
        <v>103</v>
      </c>
    </row>
    <row r="126" spans="1:7" x14ac:dyDescent="0.25">
      <c r="A126" t="s">
        <v>227</v>
      </c>
      <c r="B126">
        <v>0</v>
      </c>
      <c r="C126">
        <v>0</v>
      </c>
      <c r="D126">
        <v>0</v>
      </c>
      <c r="E126">
        <v>0</v>
      </c>
      <c r="F126">
        <v>10</v>
      </c>
      <c r="G126" t="s">
        <v>103</v>
      </c>
    </row>
    <row r="127" spans="1:7" x14ac:dyDescent="0.25">
      <c r="A127" t="s">
        <v>228</v>
      </c>
      <c r="B127">
        <v>2.5000002384185791</v>
      </c>
      <c r="C127">
        <v>-9.5273592342950031E-7</v>
      </c>
      <c r="D127">
        <v>0</v>
      </c>
      <c r="E127">
        <v>2.5000002384187612</v>
      </c>
      <c r="F127">
        <v>10</v>
      </c>
      <c r="G127" t="s">
        <v>103</v>
      </c>
    </row>
    <row r="128" spans="1:7" x14ac:dyDescent="0.25">
      <c r="A128" t="s">
        <v>229</v>
      </c>
      <c r="B128">
        <v>0</v>
      </c>
      <c r="C128">
        <v>0</v>
      </c>
      <c r="D128">
        <v>0</v>
      </c>
      <c r="E128">
        <v>0</v>
      </c>
      <c r="F128">
        <v>10</v>
      </c>
      <c r="G128" t="s">
        <v>103</v>
      </c>
    </row>
    <row r="129" spans="1:7" x14ac:dyDescent="0.25">
      <c r="A129" t="s">
        <v>230</v>
      </c>
      <c r="B129">
        <v>0</v>
      </c>
      <c r="C129">
        <v>0</v>
      </c>
      <c r="D129">
        <v>0</v>
      </c>
      <c r="E129">
        <v>0</v>
      </c>
      <c r="F129">
        <v>10</v>
      </c>
      <c r="G129" t="s">
        <v>103</v>
      </c>
    </row>
    <row r="130" spans="1:7" x14ac:dyDescent="0.25">
      <c r="A130" t="s">
        <v>231</v>
      </c>
      <c r="B130">
        <v>0</v>
      </c>
      <c r="C130">
        <v>0</v>
      </c>
      <c r="D130">
        <v>0</v>
      </c>
      <c r="E130">
        <v>0</v>
      </c>
      <c r="F130">
        <v>10</v>
      </c>
      <c r="G130" t="s">
        <v>103</v>
      </c>
    </row>
    <row r="131" spans="1:7" x14ac:dyDescent="0.25">
      <c r="A131" t="s">
        <v>232</v>
      </c>
      <c r="B131">
        <v>2.2000002861022949</v>
      </c>
      <c r="C131">
        <v>8.8583812016031674E-8</v>
      </c>
      <c r="D131">
        <v>0</v>
      </c>
      <c r="E131">
        <v>2.2000002861022971</v>
      </c>
      <c r="F131">
        <v>10</v>
      </c>
      <c r="G131" t="s">
        <v>103</v>
      </c>
    </row>
    <row r="132" spans="1:7" x14ac:dyDescent="0.25">
      <c r="A132" t="s">
        <v>233</v>
      </c>
      <c r="B132">
        <v>2.2000002861022949</v>
      </c>
      <c r="C132">
        <v>-2.428611320295232E-7</v>
      </c>
      <c r="D132">
        <v>0</v>
      </c>
      <c r="E132">
        <v>2.2000002861023078</v>
      </c>
      <c r="F132">
        <v>10</v>
      </c>
      <c r="G132" t="s">
        <v>103</v>
      </c>
    </row>
    <row r="133" spans="1:7" x14ac:dyDescent="0.25">
      <c r="A133" t="s">
        <v>234</v>
      </c>
      <c r="B133">
        <v>2.2000002861022949</v>
      </c>
      <c r="C133">
        <v>-5.4665425036741955E-7</v>
      </c>
      <c r="D133">
        <v>0</v>
      </c>
      <c r="E133">
        <v>2.2000002861023629</v>
      </c>
      <c r="F133">
        <v>10</v>
      </c>
      <c r="G133" t="s">
        <v>103</v>
      </c>
    </row>
    <row r="134" spans="1:7" x14ac:dyDescent="0.25">
      <c r="A134" t="s">
        <v>235</v>
      </c>
      <c r="B134">
        <v>0</v>
      </c>
      <c r="C134">
        <v>0</v>
      </c>
      <c r="D134">
        <v>0</v>
      </c>
      <c r="E134">
        <v>0</v>
      </c>
      <c r="F134">
        <v>10</v>
      </c>
      <c r="G134" t="s">
        <v>103</v>
      </c>
    </row>
    <row r="135" spans="1:7" x14ac:dyDescent="0.25">
      <c r="A135" t="s">
        <v>236</v>
      </c>
      <c r="B135">
        <v>0</v>
      </c>
      <c r="C135">
        <v>0</v>
      </c>
      <c r="D135">
        <v>0</v>
      </c>
      <c r="E135">
        <v>0</v>
      </c>
      <c r="F135">
        <v>10</v>
      </c>
      <c r="G135" t="s">
        <v>103</v>
      </c>
    </row>
    <row r="136" spans="1:7" x14ac:dyDescent="0.25">
      <c r="A136" t="s">
        <v>237</v>
      </c>
      <c r="B136">
        <v>0</v>
      </c>
      <c r="C136">
        <v>0</v>
      </c>
      <c r="D136">
        <v>0</v>
      </c>
      <c r="E136">
        <v>0</v>
      </c>
      <c r="F136">
        <v>10</v>
      </c>
      <c r="G136" t="s">
        <v>103</v>
      </c>
    </row>
    <row r="137" spans="1:7" x14ac:dyDescent="0.25">
      <c r="A137" t="s">
        <v>238</v>
      </c>
      <c r="B137">
        <v>2.2000002861022949</v>
      </c>
      <c r="C137">
        <v>6.7292955062414617E-9</v>
      </c>
      <c r="D137">
        <v>0</v>
      </c>
      <c r="E137">
        <v>2.2000002861022949</v>
      </c>
      <c r="F137">
        <v>10</v>
      </c>
      <c r="G137" t="s">
        <v>103</v>
      </c>
    </row>
    <row r="138" spans="1:7" x14ac:dyDescent="0.25">
      <c r="A138" t="s">
        <v>239</v>
      </c>
      <c r="B138">
        <v>2.2000002861022949</v>
      </c>
      <c r="C138">
        <v>-3.4019840167587988E-8</v>
      </c>
      <c r="D138">
        <v>0</v>
      </c>
      <c r="E138">
        <v>2.2000002861022949</v>
      </c>
      <c r="F138">
        <v>10</v>
      </c>
      <c r="G138" t="s">
        <v>103</v>
      </c>
    </row>
    <row r="139" spans="1:7" x14ac:dyDescent="0.25">
      <c r="A139" t="s">
        <v>240</v>
      </c>
      <c r="B139">
        <v>2.2000002861022949</v>
      </c>
      <c r="C139">
        <v>-6.9661354520448679E-8</v>
      </c>
      <c r="D139">
        <v>0</v>
      </c>
      <c r="E139">
        <v>2.2000002861022958</v>
      </c>
      <c r="F139">
        <v>10</v>
      </c>
      <c r="G139" t="s">
        <v>103</v>
      </c>
    </row>
    <row r="140" spans="1:7" x14ac:dyDescent="0.25">
      <c r="A140" t="s">
        <v>241</v>
      </c>
      <c r="B140">
        <v>2.2000002861022949</v>
      </c>
      <c r="C140">
        <v>9.7354933865691676E-8</v>
      </c>
      <c r="D140">
        <v>0</v>
      </c>
      <c r="E140">
        <v>2.2000002861022971</v>
      </c>
      <c r="F140">
        <v>10</v>
      </c>
      <c r="G140" t="s">
        <v>103</v>
      </c>
    </row>
    <row r="141" spans="1:7" x14ac:dyDescent="0.25">
      <c r="A141" t="s">
        <v>242</v>
      </c>
      <c r="B141">
        <v>2.2000002861022949</v>
      </c>
      <c r="C141">
        <v>-2.7592239141653141E-7</v>
      </c>
      <c r="D141">
        <v>0</v>
      </c>
      <c r="E141">
        <v>2.2000002861023118</v>
      </c>
      <c r="F141">
        <v>10</v>
      </c>
      <c r="G141" t="s">
        <v>103</v>
      </c>
    </row>
    <row r="142" spans="1:7" x14ac:dyDescent="0.25">
      <c r="A142" t="s">
        <v>243</v>
      </c>
      <c r="B142">
        <v>2.2000002861022949</v>
      </c>
      <c r="C142">
        <v>-6.066711694639737E-7</v>
      </c>
      <c r="D142">
        <v>0</v>
      </c>
      <c r="E142">
        <v>2.200000286102378</v>
      </c>
      <c r="F142">
        <v>10</v>
      </c>
      <c r="G142" t="s">
        <v>103</v>
      </c>
    </row>
    <row r="143" spans="1:7" x14ac:dyDescent="0.25">
      <c r="A143" t="s">
        <v>244</v>
      </c>
      <c r="B143">
        <v>2.2000002861022949</v>
      </c>
      <c r="C143">
        <v>9.8953001030401458E-8</v>
      </c>
      <c r="D143">
        <v>0</v>
      </c>
      <c r="E143">
        <v>2.2000002861022971</v>
      </c>
      <c r="F143">
        <v>10</v>
      </c>
      <c r="G143" t="s">
        <v>103</v>
      </c>
    </row>
    <row r="144" spans="1:7" x14ac:dyDescent="0.25">
      <c r="A144" t="s">
        <v>245</v>
      </c>
      <c r="B144">
        <v>2.2000002861022949</v>
      </c>
      <c r="C144">
        <v>-2.7565056888532308E-7</v>
      </c>
      <c r="D144">
        <v>0</v>
      </c>
      <c r="E144">
        <v>2.2000002861023118</v>
      </c>
      <c r="F144">
        <v>10</v>
      </c>
      <c r="G144" t="s">
        <v>103</v>
      </c>
    </row>
    <row r="145" spans="1:7" x14ac:dyDescent="0.25">
      <c r="A145" t="s">
        <v>246</v>
      </c>
      <c r="B145">
        <v>2.2000002861022949</v>
      </c>
      <c r="C145">
        <v>-6.0812311754541526E-7</v>
      </c>
      <c r="D145">
        <v>0</v>
      </c>
      <c r="E145">
        <v>2.2000002861023789</v>
      </c>
      <c r="F145">
        <v>10</v>
      </c>
      <c r="G145" t="s">
        <v>103</v>
      </c>
    </row>
    <row r="146" spans="1:7" x14ac:dyDescent="0.25">
      <c r="A146" t="s">
        <v>247</v>
      </c>
      <c r="B146">
        <v>0</v>
      </c>
      <c r="C146">
        <v>0</v>
      </c>
      <c r="D146">
        <v>0</v>
      </c>
      <c r="E146">
        <v>0</v>
      </c>
      <c r="F146">
        <v>10</v>
      </c>
      <c r="G146" t="s">
        <v>103</v>
      </c>
    </row>
    <row r="147" spans="1:7" x14ac:dyDescent="0.25">
      <c r="A147" t="s">
        <v>248</v>
      </c>
      <c r="B147">
        <v>0</v>
      </c>
      <c r="C147">
        <v>0</v>
      </c>
      <c r="D147">
        <v>0</v>
      </c>
      <c r="E147">
        <v>0</v>
      </c>
      <c r="F147">
        <v>10</v>
      </c>
      <c r="G147" t="s">
        <v>103</v>
      </c>
    </row>
    <row r="148" spans="1:7" x14ac:dyDescent="0.25">
      <c r="A148" t="s">
        <v>249</v>
      </c>
      <c r="B148">
        <v>0</v>
      </c>
      <c r="C148">
        <v>0</v>
      </c>
      <c r="D148">
        <v>0</v>
      </c>
      <c r="E148">
        <v>0</v>
      </c>
      <c r="F148">
        <v>10</v>
      </c>
      <c r="G148" t="s">
        <v>103</v>
      </c>
    </row>
    <row r="149" spans="1:7" x14ac:dyDescent="0.25">
      <c r="A149" t="s">
        <v>250</v>
      </c>
      <c r="B149">
        <v>2.2000002861022949</v>
      </c>
      <c r="C149">
        <v>1.7117623984930219E-7</v>
      </c>
      <c r="D149">
        <v>0</v>
      </c>
      <c r="E149">
        <v>2.200000286102302</v>
      </c>
      <c r="F149">
        <v>10</v>
      </c>
      <c r="G149" t="s">
        <v>103</v>
      </c>
    </row>
    <row r="150" spans="1:7" x14ac:dyDescent="0.25">
      <c r="A150" t="s">
        <v>251</v>
      </c>
      <c r="B150">
        <v>2.2000002861022949</v>
      </c>
      <c r="C150">
        <v>-4.6302636544081721E-7</v>
      </c>
      <c r="D150">
        <v>0</v>
      </c>
      <c r="E150">
        <v>2.2000002861023442</v>
      </c>
      <c r="F150">
        <v>10</v>
      </c>
      <c r="G150" t="s">
        <v>103</v>
      </c>
    </row>
    <row r="151" spans="1:7" x14ac:dyDescent="0.25">
      <c r="A151" t="s">
        <v>252</v>
      </c>
      <c r="B151">
        <v>2.2000002861022949</v>
      </c>
      <c r="C151">
        <v>-1.0970477090412509E-6</v>
      </c>
      <c r="D151">
        <v>0</v>
      </c>
      <c r="E151">
        <v>2.200000286102568</v>
      </c>
      <c r="F151">
        <v>10</v>
      </c>
      <c r="G151" t="s">
        <v>103</v>
      </c>
    </row>
    <row r="152" spans="1:7" x14ac:dyDescent="0.25">
      <c r="A152" t="s">
        <v>253</v>
      </c>
      <c r="B152">
        <v>0</v>
      </c>
      <c r="C152">
        <v>0</v>
      </c>
      <c r="D152">
        <v>0</v>
      </c>
      <c r="E152">
        <v>0</v>
      </c>
      <c r="F152">
        <v>10</v>
      </c>
      <c r="G152" t="s">
        <v>103</v>
      </c>
    </row>
    <row r="153" spans="1:7" x14ac:dyDescent="0.25">
      <c r="A153" t="s">
        <v>254</v>
      </c>
      <c r="B153">
        <v>0</v>
      </c>
      <c r="C153">
        <v>0</v>
      </c>
      <c r="D153">
        <v>0</v>
      </c>
      <c r="E153">
        <v>0</v>
      </c>
      <c r="F153">
        <v>10</v>
      </c>
      <c r="G153" t="s">
        <v>103</v>
      </c>
    </row>
    <row r="154" spans="1:7" x14ac:dyDescent="0.25">
      <c r="A154" t="s">
        <v>255</v>
      </c>
      <c r="B154">
        <v>0</v>
      </c>
      <c r="C154">
        <v>0</v>
      </c>
      <c r="D154">
        <v>0</v>
      </c>
      <c r="E154">
        <v>0</v>
      </c>
      <c r="F154">
        <v>10</v>
      </c>
      <c r="G154" t="s">
        <v>103</v>
      </c>
    </row>
    <row r="155" spans="1:7" x14ac:dyDescent="0.25">
      <c r="A155" t="s">
        <v>256</v>
      </c>
      <c r="B155">
        <v>2.2000002861022949</v>
      </c>
      <c r="C155">
        <v>2.0569579864635851E-7</v>
      </c>
      <c r="D155">
        <v>0</v>
      </c>
      <c r="E155">
        <v>2.2000002861023051</v>
      </c>
      <c r="F155">
        <v>10</v>
      </c>
      <c r="G155" t="s">
        <v>103</v>
      </c>
    </row>
    <row r="156" spans="1:7" x14ac:dyDescent="0.25">
      <c r="A156" t="s">
        <v>257</v>
      </c>
      <c r="B156">
        <v>2.2000002861022949</v>
      </c>
      <c r="C156">
        <v>-5.5933196366642762E-7</v>
      </c>
      <c r="D156">
        <v>0</v>
      </c>
      <c r="E156">
        <v>2.200000286102366</v>
      </c>
      <c r="F156">
        <v>10</v>
      </c>
      <c r="G156" t="s">
        <v>103</v>
      </c>
    </row>
    <row r="157" spans="1:7" x14ac:dyDescent="0.25">
      <c r="A157" t="s">
        <v>258</v>
      </c>
      <c r="B157">
        <v>2.2000002861022949</v>
      </c>
      <c r="C157">
        <v>-1.295483479894545E-6</v>
      </c>
      <c r="D157">
        <v>0</v>
      </c>
      <c r="E157">
        <v>2.200000286102676</v>
      </c>
      <c r="F157">
        <v>10</v>
      </c>
      <c r="G157" t="s">
        <v>103</v>
      </c>
    </row>
    <row r="158" spans="1:7" x14ac:dyDescent="0.25">
      <c r="A158" t="s">
        <v>259</v>
      </c>
      <c r="B158">
        <v>0</v>
      </c>
      <c r="C158">
        <v>0</v>
      </c>
      <c r="D158">
        <v>0</v>
      </c>
      <c r="E158">
        <v>0</v>
      </c>
      <c r="F158">
        <v>10</v>
      </c>
      <c r="G158" t="s">
        <v>103</v>
      </c>
    </row>
    <row r="159" spans="1:7" x14ac:dyDescent="0.25">
      <c r="A159" t="s">
        <v>260</v>
      </c>
      <c r="B159">
        <v>0</v>
      </c>
      <c r="C159">
        <v>0</v>
      </c>
      <c r="D159">
        <v>0</v>
      </c>
      <c r="E159">
        <v>0</v>
      </c>
      <c r="F159">
        <v>10</v>
      </c>
      <c r="G159" t="s">
        <v>103</v>
      </c>
    </row>
    <row r="160" spans="1:7" x14ac:dyDescent="0.25">
      <c r="A160" t="s">
        <v>261</v>
      </c>
      <c r="B160">
        <v>2.5000002384185791</v>
      </c>
      <c r="C160">
        <v>-1.2369400194505351E-6</v>
      </c>
      <c r="D160">
        <v>0</v>
      </c>
      <c r="E160">
        <v>2.5000002384188851</v>
      </c>
      <c r="F160">
        <v>10</v>
      </c>
      <c r="G160" t="s">
        <v>103</v>
      </c>
    </row>
    <row r="161" spans="1:7" x14ac:dyDescent="0.25">
      <c r="A161" t="s">
        <v>262</v>
      </c>
      <c r="B161">
        <v>0</v>
      </c>
      <c r="C161">
        <v>0</v>
      </c>
      <c r="D161">
        <v>0</v>
      </c>
      <c r="E161">
        <v>0</v>
      </c>
      <c r="F161">
        <v>10</v>
      </c>
      <c r="G161" t="s">
        <v>103</v>
      </c>
    </row>
    <row r="162" spans="1:7" x14ac:dyDescent="0.25">
      <c r="A162" t="s">
        <v>263</v>
      </c>
      <c r="B162">
        <v>0</v>
      </c>
      <c r="C162">
        <v>0</v>
      </c>
      <c r="D162">
        <v>0</v>
      </c>
      <c r="E162">
        <v>0</v>
      </c>
      <c r="F162">
        <v>10</v>
      </c>
      <c r="G162" t="s">
        <v>103</v>
      </c>
    </row>
    <row r="163" spans="1:7" x14ac:dyDescent="0.25">
      <c r="A163" t="s">
        <v>264</v>
      </c>
      <c r="B163">
        <v>0</v>
      </c>
      <c r="C163">
        <v>0</v>
      </c>
      <c r="D163">
        <v>0</v>
      </c>
      <c r="E163">
        <v>0</v>
      </c>
      <c r="F163">
        <v>10</v>
      </c>
      <c r="G163" t="s">
        <v>103</v>
      </c>
    </row>
    <row r="164" spans="1:7" x14ac:dyDescent="0.25">
      <c r="A164" t="s">
        <v>265</v>
      </c>
      <c r="B164">
        <v>2.2000002861022949</v>
      </c>
      <c r="C164">
        <v>1.1723560201330289E-7</v>
      </c>
      <c r="D164">
        <v>0</v>
      </c>
      <c r="E164">
        <v>2.200000286102298</v>
      </c>
      <c r="F164">
        <v>10</v>
      </c>
      <c r="G164" t="s">
        <v>103</v>
      </c>
    </row>
    <row r="165" spans="1:7" x14ac:dyDescent="0.25">
      <c r="A165" t="s">
        <v>266</v>
      </c>
      <c r="B165">
        <v>2.2000002861022949</v>
      </c>
      <c r="C165">
        <v>-3.2090398892868632E-7</v>
      </c>
      <c r="D165">
        <v>0</v>
      </c>
      <c r="E165">
        <v>2.200000286102318</v>
      </c>
      <c r="F165">
        <v>10</v>
      </c>
      <c r="G165" t="s">
        <v>103</v>
      </c>
    </row>
    <row r="166" spans="1:7" x14ac:dyDescent="0.25">
      <c r="A166" t="s">
        <v>267</v>
      </c>
      <c r="B166">
        <v>2.2000002861022949</v>
      </c>
      <c r="C166">
        <v>-7.4681800818719257E-7</v>
      </c>
      <c r="D166">
        <v>0</v>
      </c>
      <c r="E166">
        <v>2.200000286102421</v>
      </c>
      <c r="F166">
        <v>10</v>
      </c>
      <c r="G166" t="s">
        <v>103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"/>
  <sheetViews>
    <sheetView workbookViewId="0"/>
  </sheetViews>
  <sheetFormatPr defaultRowHeight="15" x14ac:dyDescent="0.25"/>
  <sheetData>
    <row r="1" spans="1:9" x14ac:dyDescent="0.25">
      <c r="A1" t="s">
        <v>392</v>
      </c>
      <c r="B1" t="s">
        <v>393</v>
      </c>
      <c r="C1" t="s">
        <v>394</v>
      </c>
      <c r="D1" t="s">
        <v>395</v>
      </c>
      <c r="E1" t="s">
        <v>396</v>
      </c>
      <c r="F1" t="s">
        <v>397</v>
      </c>
      <c r="G1" t="s">
        <v>98</v>
      </c>
      <c r="H1" t="s">
        <v>398</v>
      </c>
      <c r="I1" t="s">
        <v>399</v>
      </c>
    </row>
    <row r="2" spans="1:9" x14ac:dyDescent="0.25">
      <c r="A2" t="s">
        <v>400</v>
      </c>
      <c r="B2" t="s">
        <v>272</v>
      </c>
      <c r="C2" t="s">
        <v>401</v>
      </c>
      <c r="D2">
        <v>0</v>
      </c>
      <c r="E2">
        <v>0</v>
      </c>
      <c r="F2">
        <v>30</v>
      </c>
      <c r="G2">
        <v>35</v>
      </c>
      <c r="H2">
        <v>0</v>
      </c>
      <c r="I2">
        <v>0</v>
      </c>
    </row>
    <row r="3" spans="1:9" x14ac:dyDescent="0.25">
      <c r="A3" t="s">
        <v>400</v>
      </c>
      <c r="B3" t="s">
        <v>273</v>
      </c>
      <c r="C3" t="s">
        <v>402</v>
      </c>
      <c r="D3">
        <v>0</v>
      </c>
      <c r="E3">
        <v>0</v>
      </c>
      <c r="F3">
        <v>30</v>
      </c>
      <c r="G3">
        <v>35</v>
      </c>
      <c r="H3">
        <v>0</v>
      </c>
      <c r="I3">
        <v>0</v>
      </c>
    </row>
    <row r="4" spans="1:9" x14ac:dyDescent="0.25">
      <c r="A4" t="s">
        <v>400</v>
      </c>
      <c r="B4" t="s">
        <v>274</v>
      </c>
      <c r="C4" t="s">
        <v>403</v>
      </c>
      <c r="D4">
        <v>0</v>
      </c>
      <c r="E4">
        <v>0</v>
      </c>
      <c r="F4">
        <v>30</v>
      </c>
      <c r="G4">
        <v>35</v>
      </c>
      <c r="H4">
        <v>0</v>
      </c>
      <c r="I4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16"/>
  <sheetViews>
    <sheetView workbookViewId="0"/>
  </sheetViews>
  <sheetFormatPr defaultRowHeight="15" x14ac:dyDescent="0.25"/>
  <sheetData>
    <row r="1" spans="1:4" x14ac:dyDescent="0.25">
      <c r="A1" t="s">
        <v>551</v>
      </c>
      <c r="B1" t="s">
        <v>552</v>
      </c>
      <c r="C1" t="s">
        <v>553</v>
      </c>
      <c r="D1" t="s">
        <v>545</v>
      </c>
    </row>
    <row r="2" spans="1:4" x14ac:dyDescent="0.25">
      <c r="A2" t="s">
        <v>554</v>
      </c>
      <c r="B2">
        <v>2.0335674548653189</v>
      </c>
      <c r="C2">
        <v>0.63886406558504372</v>
      </c>
      <c r="D2">
        <v>74.822642361381739</v>
      </c>
    </row>
    <row r="3" spans="1:4" x14ac:dyDescent="0.25">
      <c r="A3" t="s">
        <v>555</v>
      </c>
      <c r="B3">
        <v>1.5276243633273979E-3</v>
      </c>
      <c r="C3">
        <v>4.7991734762442399E-4</v>
      </c>
      <c r="D3">
        <v>3.2501762996303469</v>
      </c>
    </row>
    <row r="4" spans="1:4" x14ac:dyDescent="0.25">
      <c r="A4" t="s">
        <v>556</v>
      </c>
      <c r="B4">
        <v>4.5246240542315749E-4</v>
      </c>
      <c r="C4">
        <v>1.4214525993645741E-4</v>
      </c>
      <c r="D4">
        <v>3.9567236943165289</v>
      </c>
    </row>
    <row r="5" spans="1:4" x14ac:dyDescent="0.25">
      <c r="A5" t="s">
        <v>557</v>
      </c>
      <c r="B5">
        <v>3.20744857795096E-4</v>
      </c>
      <c r="C5">
        <v>1.5858091873292499E-5</v>
      </c>
      <c r="D5">
        <v>3.4526468913595112</v>
      </c>
    </row>
    <row r="6" spans="1:4" x14ac:dyDescent="0.25">
      <c r="A6" t="s">
        <v>558</v>
      </c>
      <c r="B6">
        <v>2.4545408086351118E-3</v>
      </c>
      <c r="C6">
        <v>1.213560644990194E-4</v>
      </c>
      <c r="D6">
        <v>7.4345349307730277</v>
      </c>
    </row>
    <row r="7" spans="1:4" x14ac:dyDescent="0.25">
      <c r="A7" t="s">
        <v>559</v>
      </c>
      <c r="B7">
        <v>2.998689211870559E-4</v>
      </c>
      <c r="C7">
        <v>1.4825955230727189E-5</v>
      </c>
      <c r="D7">
        <v>3.115879124667881</v>
      </c>
    </row>
    <row r="8" spans="1:4" x14ac:dyDescent="0.25">
      <c r="A8" t="s">
        <v>560</v>
      </c>
      <c r="B8">
        <v>8.532277835981766E-4</v>
      </c>
      <c r="C8">
        <v>4.2184821525445133E-5</v>
      </c>
      <c r="D8">
        <v>4.3931138652608173</v>
      </c>
    </row>
    <row r="9" spans="1:4" x14ac:dyDescent="0.25">
      <c r="A9" t="s">
        <v>561</v>
      </c>
      <c r="B9">
        <v>2.3459035093189619E-3</v>
      </c>
      <c r="C9">
        <v>1.159848785501011E-4</v>
      </c>
      <c r="D9">
        <v>11.034730462776849</v>
      </c>
    </row>
    <row r="10" spans="1:4" x14ac:dyDescent="0.25">
      <c r="A10" t="s">
        <v>562</v>
      </c>
      <c r="B10">
        <v>8.5201554013880805E-4</v>
      </c>
      <c r="C10">
        <v>4.2124886447114651E-5</v>
      </c>
      <c r="D10">
        <v>4.4018306133330452</v>
      </c>
    </row>
    <row r="11" spans="1:4" x14ac:dyDescent="0.25">
      <c r="A11" t="s">
        <v>563</v>
      </c>
      <c r="B11">
        <v>2.4350513807235279E-3</v>
      </c>
      <c r="C11">
        <v>1.203924788615229E-4</v>
      </c>
      <c r="D11">
        <v>7.4229669471673452</v>
      </c>
    </row>
    <row r="12" spans="1:4" x14ac:dyDescent="0.25">
      <c r="A12" t="s">
        <v>564</v>
      </c>
      <c r="B12">
        <v>4.2733076711185666E-3</v>
      </c>
      <c r="C12">
        <v>2.1127854119891041E-4</v>
      </c>
      <c r="D12">
        <v>9.6832773070214042</v>
      </c>
    </row>
    <row r="13" spans="1:4" x14ac:dyDescent="0.25">
      <c r="A13" t="s">
        <v>565</v>
      </c>
      <c r="B13">
        <v>0.61273132756785309</v>
      </c>
      <c r="C13">
        <v>0.19249522368971339</v>
      </c>
      <c r="D13">
        <v>74.35335710268815</v>
      </c>
    </row>
    <row r="14" spans="1:4" x14ac:dyDescent="0.25">
      <c r="A14" t="s">
        <v>566</v>
      </c>
      <c r="B14">
        <v>3.9732812362755854E-3</v>
      </c>
      <c r="C14">
        <v>1.248243141002692E-3</v>
      </c>
      <c r="D14">
        <v>13.732477703910121</v>
      </c>
    </row>
    <row r="15" spans="1:4" x14ac:dyDescent="0.25">
      <c r="A15" t="s">
        <v>567</v>
      </c>
      <c r="B15">
        <v>1.2287172677528241E-3</v>
      </c>
      <c r="C15">
        <v>3.8601292244317808E-4</v>
      </c>
      <c r="D15">
        <v>5.8936214920878571</v>
      </c>
    </row>
    <row r="16" spans="1:4" x14ac:dyDescent="0.25">
      <c r="A16" t="s">
        <v>568</v>
      </c>
      <c r="B16">
        <v>0.53726872757114619</v>
      </c>
      <c r="C16">
        <v>0.16878794871777811</v>
      </c>
      <c r="D16">
        <v>70.453450406307155</v>
      </c>
    </row>
    <row r="17" spans="1:4" x14ac:dyDescent="0.25">
      <c r="A17" t="s">
        <v>569</v>
      </c>
      <c r="B17">
        <v>2.9643026810601409E-4</v>
      </c>
      <c r="C17">
        <v>9.3126317254020596E-5</v>
      </c>
      <c r="D17">
        <v>3.4986151697538261</v>
      </c>
    </row>
    <row r="18" spans="1:4" x14ac:dyDescent="0.25">
      <c r="A18" t="s">
        <v>570</v>
      </c>
      <c r="B18">
        <v>2.6194611632173511E-3</v>
      </c>
      <c r="C18">
        <v>1.2950996649071939E-4</v>
      </c>
      <c r="D18">
        <v>7.4215076934779818</v>
      </c>
    </row>
    <row r="19" spans="1:4" x14ac:dyDescent="0.25">
      <c r="A19" t="s">
        <v>571</v>
      </c>
      <c r="B19">
        <v>5.8027957145173441E-4</v>
      </c>
      <c r="C19">
        <v>1.8230020777687021E-4</v>
      </c>
      <c r="D19">
        <v>3.956334168802857</v>
      </c>
    </row>
    <row r="20" spans="1:4" x14ac:dyDescent="0.25">
      <c r="A20" t="s">
        <v>572</v>
      </c>
      <c r="B20">
        <v>6.4420973098339683E-4</v>
      </c>
      <c r="C20">
        <v>2.023844601594166E-4</v>
      </c>
      <c r="D20">
        <v>4.2743664634100318</v>
      </c>
    </row>
    <row r="21" spans="1:4" x14ac:dyDescent="0.25">
      <c r="A21" t="s">
        <v>573</v>
      </c>
      <c r="B21">
        <v>5.8028346229597842E-4</v>
      </c>
      <c r="C21">
        <v>1.823014301215783E-4</v>
      </c>
      <c r="D21">
        <v>3.9563456350521782</v>
      </c>
    </row>
    <row r="22" spans="1:4" x14ac:dyDescent="0.25">
      <c r="A22" t="s">
        <v>574</v>
      </c>
      <c r="B22">
        <v>2.7252173766608048E-3</v>
      </c>
      <c r="C22">
        <v>8.561523073425531E-4</v>
      </c>
      <c r="D22">
        <v>8.9944610641540752</v>
      </c>
    </row>
    <row r="23" spans="1:4" x14ac:dyDescent="0.25">
      <c r="A23" t="s">
        <v>575</v>
      </c>
      <c r="B23">
        <v>1.798189333617048E-3</v>
      </c>
      <c r="C23">
        <v>8.8905093769276865E-5</v>
      </c>
      <c r="D23">
        <v>8.3732042650375096</v>
      </c>
    </row>
    <row r="24" spans="1:4" x14ac:dyDescent="0.25">
      <c r="A24" t="s">
        <v>576</v>
      </c>
      <c r="B24">
        <v>9.1289578137729137E-4</v>
      </c>
      <c r="C24">
        <v>2.8679467417276958E-4</v>
      </c>
      <c r="D24">
        <v>4.1842830224229672</v>
      </c>
    </row>
    <row r="25" spans="1:4" x14ac:dyDescent="0.25">
      <c r="A25" t="s">
        <v>577</v>
      </c>
      <c r="B25">
        <v>0.89003823615733246</v>
      </c>
      <c r="C25">
        <v>0.27961375835241192</v>
      </c>
      <c r="D25">
        <v>91.450228298603705</v>
      </c>
    </row>
    <row r="26" spans="1:4" x14ac:dyDescent="0.25">
      <c r="A26" t="s">
        <v>578</v>
      </c>
      <c r="B26">
        <v>1.057953522973307E-3</v>
      </c>
      <c r="C26">
        <v>3.323659086837199E-4</v>
      </c>
      <c r="D26">
        <v>5.1263625827623667</v>
      </c>
    </row>
    <row r="27" spans="1:4" x14ac:dyDescent="0.25">
      <c r="A27" t="s">
        <v>579</v>
      </c>
      <c r="B27">
        <v>5.3703533332296292E-4</v>
      </c>
      <c r="C27">
        <v>1.6871462940365629E-4</v>
      </c>
      <c r="D27">
        <v>4.333489726322111</v>
      </c>
    </row>
    <row r="28" spans="1:4" x14ac:dyDescent="0.25">
      <c r="A28" t="s">
        <v>580</v>
      </c>
      <c r="B28">
        <v>3.3432517381464671E-4</v>
      </c>
      <c r="C28">
        <v>1.6529522432284869E-5</v>
      </c>
      <c r="D28">
        <v>3.5865183571937571</v>
      </c>
    </row>
    <row r="29" spans="1:4" x14ac:dyDescent="0.25">
      <c r="A29" t="s">
        <v>581</v>
      </c>
      <c r="B29">
        <v>4.7340980237748059E-3</v>
      </c>
      <c r="C29">
        <v>2.3406068585073831E-4</v>
      </c>
      <c r="D29">
        <v>11.16034836690509</v>
      </c>
    </row>
    <row r="30" spans="1:4" x14ac:dyDescent="0.25">
      <c r="A30" t="s">
        <v>582</v>
      </c>
      <c r="B30">
        <v>4.3217895898830621E-4</v>
      </c>
      <c r="C30">
        <v>1.357730271690349E-4</v>
      </c>
      <c r="D30">
        <v>4.1110770807992871</v>
      </c>
    </row>
    <row r="31" spans="1:4" x14ac:dyDescent="0.25">
      <c r="A31" t="s">
        <v>583</v>
      </c>
      <c r="B31">
        <v>2.649937857359232E-3</v>
      </c>
      <c r="C31">
        <v>1.310167785376548E-4</v>
      </c>
      <c r="D31">
        <v>7.4521489460038364</v>
      </c>
    </row>
    <row r="32" spans="1:4" x14ac:dyDescent="0.25">
      <c r="A32" t="s">
        <v>584</v>
      </c>
      <c r="B32">
        <v>4.3217652106433859E-4</v>
      </c>
      <c r="C32">
        <v>1.3577226127246559E-4</v>
      </c>
      <c r="D32">
        <v>4.111065544667845</v>
      </c>
    </row>
    <row r="33" spans="1:4" x14ac:dyDescent="0.25">
      <c r="A33" t="s">
        <v>585</v>
      </c>
      <c r="B33">
        <v>3.3473981871784408E-4</v>
      </c>
      <c r="C33">
        <v>1.6550023078821131E-5</v>
      </c>
      <c r="D33">
        <v>3.5906671721594181</v>
      </c>
    </row>
    <row r="34" spans="1:4" x14ac:dyDescent="0.25">
      <c r="A34" t="s">
        <v>586</v>
      </c>
      <c r="B34">
        <v>3.347398187179525E-4</v>
      </c>
      <c r="C34">
        <v>1.6550023078821131E-5</v>
      </c>
      <c r="D34">
        <v>3.590667172159387</v>
      </c>
    </row>
    <row r="35" spans="1:4" x14ac:dyDescent="0.25">
      <c r="A35" t="s">
        <v>587</v>
      </c>
      <c r="B35">
        <v>0.46269020550775841</v>
      </c>
      <c r="C35">
        <v>0.14535841501982569</v>
      </c>
      <c r="D35">
        <v>66.453124096426194</v>
      </c>
    </row>
    <row r="36" spans="1:4" x14ac:dyDescent="0.25">
      <c r="A36" t="s">
        <v>588</v>
      </c>
      <c r="B36">
        <v>2.3921536718720352E-3</v>
      </c>
      <c r="C36">
        <v>7.5151725628574344E-4</v>
      </c>
      <c r="D36">
        <v>6.3484664008940026</v>
      </c>
    </row>
    <row r="37" spans="1:4" x14ac:dyDescent="0.25">
      <c r="A37" t="s">
        <v>589</v>
      </c>
      <c r="B37">
        <v>9.6325573122101396E-4</v>
      </c>
      <c r="C37">
        <v>4.7624763147556023E-5</v>
      </c>
      <c r="D37">
        <v>4.3851259287604094</v>
      </c>
    </row>
    <row r="38" spans="1:4" x14ac:dyDescent="0.25">
      <c r="A38" t="s">
        <v>590</v>
      </c>
      <c r="B38">
        <v>9.7628632981590531E-3</v>
      </c>
      <c r="C38">
        <v>4.8269014878051788E-4</v>
      </c>
      <c r="D38">
        <v>10.920577428761391</v>
      </c>
    </row>
    <row r="39" spans="1:4" x14ac:dyDescent="0.25">
      <c r="A39" t="s">
        <v>591</v>
      </c>
      <c r="B39">
        <v>3.1697395662313039E-4</v>
      </c>
      <c r="C39">
        <v>1.5671653039493009E-5</v>
      </c>
      <c r="D39">
        <v>3.376242271343473</v>
      </c>
    </row>
    <row r="40" spans="1:4" x14ac:dyDescent="0.25">
      <c r="A40" t="s">
        <v>592</v>
      </c>
      <c r="B40">
        <v>9.1665619359436457E-4</v>
      </c>
      <c r="C40">
        <v>4.5320814289037843E-5</v>
      </c>
      <c r="D40">
        <v>4.3501871249158608</v>
      </c>
    </row>
    <row r="41" spans="1:4" x14ac:dyDescent="0.25">
      <c r="A41" t="s">
        <v>593</v>
      </c>
      <c r="B41">
        <v>0.40916709460251532</v>
      </c>
      <c r="C41">
        <v>0.1285436338217226</v>
      </c>
      <c r="D41">
        <v>63.326858192000337</v>
      </c>
    </row>
    <row r="42" spans="1:4" x14ac:dyDescent="0.25">
      <c r="A42" t="s">
        <v>594</v>
      </c>
      <c r="B42">
        <v>1.2417736319080171E-3</v>
      </c>
      <c r="C42">
        <v>3.9011470030184299E-4</v>
      </c>
      <c r="D42">
        <v>4.240685640779656</v>
      </c>
    </row>
    <row r="43" spans="1:4" x14ac:dyDescent="0.25">
      <c r="A43" t="s">
        <v>595</v>
      </c>
      <c r="B43">
        <v>3.7949476806634769E-2</v>
      </c>
      <c r="C43">
        <v>1.1922179751763099E-2</v>
      </c>
      <c r="D43">
        <v>19.022971726905929</v>
      </c>
    </row>
    <row r="44" spans="1:4" x14ac:dyDescent="0.25">
      <c r="A44" t="s">
        <v>596</v>
      </c>
      <c r="B44">
        <v>0.20733482165356809</v>
      </c>
      <c r="C44">
        <v>6.5136155240000909E-2</v>
      </c>
      <c r="D44">
        <v>44.346052928964227</v>
      </c>
    </row>
    <row r="45" spans="1:4" x14ac:dyDescent="0.25">
      <c r="A45" t="s">
        <v>597</v>
      </c>
      <c r="B45">
        <v>4.6354147483500434E-3</v>
      </c>
      <c r="C45">
        <v>2.29181641308359E-4</v>
      </c>
      <c r="D45">
        <v>10.46818173378032</v>
      </c>
    </row>
    <row r="46" spans="1:4" x14ac:dyDescent="0.25">
      <c r="A46" t="s">
        <v>598</v>
      </c>
      <c r="B46">
        <v>9.1586499976711346E-4</v>
      </c>
      <c r="C46">
        <v>4.5281696516594281E-5</v>
      </c>
      <c r="D46">
        <v>4.3475858365091762</v>
      </c>
    </row>
    <row r="47" spans="1:4" x14ac:dyDescent="0.25">
      <c r="A47" t="s">
        <v>599</v>
      </c>
      <c r="B47">
        <v>3.5517313686133159E-2</v>
      </c>
      <c r="C47">
        <v>1.1158093172758831E-2</v>
      </c>
      <c r="D47">
        <v>15.283881211762081</v>
      </c>
    </row>
    <row r="48" spans="1:4" x14ac:dyDescent="0.25">
      <c r="A48" t="s">
        <v>600</v>
      </c>
      <c r="B48">
        <v>8.113401903377896E-4</v>
      </c>
      <c r="C48">
        <v>2.548900436150775E-4</v>
      </c>
      <c r="D48">
        <v>4.5577085293847706</v>
      </c>
    </row>
    <row r="49" spans="1:4" x14ac:dyDescent="0.25">
      <c r="A49" t="s">
        <v>601</v>
      </c>
      <c r="B49">
        <v>3.5335364440064118E-3</v>
      </c>
      <c r="C49">
        <v>1.110093237158108E-3</v>
      </c>
      <c r="D49">
        <v>10.657215323488829</v>
      </c>
    </row>
    <row r="50" spans="1:4" x14ac:dyDescent="0.25">
      <c r="A50" t="s">
        <v>602</v>
      </c>
      <c r="B50">
        <v>0.45040815464315181</v>
      </c>
      <c r="C50">
        <v>0.141499894943933</v>
      </c>
      <c r="D50">
        <v>84.044542915177061</v>
      </c>
    </row>
    <row r="51" spans="1:4" x14ac:dyDescent="0.25">
      <c r="A51" t="s">
        <v>603</v>
      </c>
      <c r="B51">
        <v>3.8013351103112672E-2</v>
      </c>
      <c r="C51">
        <v>1.19422464538168E-2</v>
      </c>
      <c r="D51">
        <v>15.276906646926729</v>
      </c>
    </row>
    <row r="52" spans="1:4" x14ac:dyDescent="0.25">
      <c r="A52" t="s">
        <v>604</v>
      </c>
      <c r="B52">
        <v>1.046488661821907E-4</v>
      </c>
      <c r="C52">
        <v>3.287641162498349E-5</v>
      </c>
      <c r="D52">
        <v>2.0301326062586398</v>
      </c>
    </row>
    <row r="53" spans="1:4" x14ac:dyDescent="0.25">
      <c r="A53" t="s">
        <v>605</v>
      </c>
      <c r="B53">
        <v>1.0432999872789921E-4</v>
      </c>
      <c r="C53">
        <v>3.2776236457722752E-5</v>
      </c>
      <c r="D53">
        <v>2.0390010080981211</v>
      </c>
    </row>
    <row r="54" spans="1:4" x14ac:dyDescent="0.25">
      <c r="A54" t="s">
        <v>606</v>
      </c>
      <c r="B54">
        <v>4.1040805709545089E-2</v>
      </c>
      <c r="C54">
        <v>1.289334936867498E-2</v>
      </c>
      <c r="D54">
        <v>15.31509381896341</v>
      </c>
    </row>
    <row r="55" spans="1:4" x14ac:dyDescent="0.25">
      <c r="A55" t="s">
        <v>607</v>
      </c>
      <c r="B55">
        <v>3.254327514198575E-4</v>
      </c>
      <c r="C55">
        <v>1.6089868146434028E-5</v>
      </c>
      <c r="D55">
        <v>3.5212102369048939</v>
      </c>
    </row>
    <row r="56" spans="1:4" x14ac:dyDescent="0.25">
      <c r="A56" t="s">
        <v>608</v>
      </c>
      <c r="B56">
        <v>1.6576226045162969E-3</v>
      </c>
      <c r="C56">
        <v>8.195527041195529E-5</v>
      </c>
      <c r="D56">
        <v>8.0038999730274298</v>
      </c>
    </row>
    <row r="57" spans="1:4" x14ac:dyDescent="0.25">
      <c r="A57" t="s">
        <v>609</v>
      </c>
      <c r="B57">
        <v>0.17214498178144341</v>
      </c>
      <c r="C57">
        <v>5.408094100005454E-2</v>
      </c>
      <c r="D57">
        <v>41.269336216535422</v>
      </c>
    </row>
    <row r="58" spans="1:4" x14ac:dyDescent="0.25">
      <c r="A58" t="s">
        <v>610</v>
      </c>
      <c r="B58">
        <v>6.1101673424004965E-4</v>
      </c>
      <c r="C58">
        <v>1.9195657246471069E-4</v>
      </c>
      <c r="D58">
        <v>4.2391315342287772</v>
      </c>
    </row>
    <row r="59" spans="1:4" x14ac:dyDescent="0.25">
      <c r="A59" t="s">
        <v>611</v>
      </c>
      <c r="B59">
        <v>0.1342469273468809</v>
      </c>
      <c r="C59">
        <v>4.2174916062924159E-2</v>
      </c>
      <c r="D59">
        <v>36.621438248740517</v>
      </c>
    </row>
    <row r="60" spans="1:4" x14ac:dyDescent="0.25">
      <c r="A60" t="s">
        <v>612</v>
      </c>
      <c r="B60">
        <v>1.9951590502105799E-3</v>
      </c>
      <c r="C60">
        <v>6.2679771492091078E-4</v>
      </c>
      <c r="D60">
        <v>5.6751257470384928</v>
      </c>
    </row>
    <row r="61" spans="1:4" x14ac:dyDescent="0.25">
      <c r="A61" t="s">
        <v>613</v>
      </c>
      <c r="B61">
        <v>2.097509773274497E-2</v>
      </c>
      <c r="C61">
        <v>6.5895212931336468E-3</v>
      </c>
      <c r="D61">
        <v>11.51919226780538</v>
      </c>
    </row>
    <row r="62" spans="1:4" x14ac:dyDescent="0.25">
      <c r="A62" t="s">
        <v>614</v>
      </c>
      <c r="B62">
        <v>1.4279813629783191E-3</v>
      </c>
      <c r="C62">
        <v>4.486135855527075E-4</v>
      </c>
      <c r="D62">
        <v>5.7927494435171916</v>
      </c>
    </row>
    <row r="63" spans="1:4" x14ac:dyDescent="0.25">
      <c r="A63" t="s">
        <v>615</v>
      </c>
      <c r="B63">
        <v>6.1426367563115203E-4</v>
      </c>
      <c r="C63">
        <v>1.9297662920837299E-4</v>
      </c>
      <c r="D63">
        <v>4.1002662402593968</v>
      </c>
    </row>
    <row r="64" spans="1:4" x14ac:dyDescent="0.25">
      <c r="A64" t="s">
        <v>616</v>
      </c>
      <c r="B64">
        <v>3.068559695067977E-2</v>
      </c>
      <c r="C64">
        <v>9.640164593052291E-3</v>
      </c>
      <c r="D64">
        <v>13.09972645196221</v>
      </c>
    </row>
    <row r="65" spans="1:4" x14ac:dyDescent="0.25">
      <c r="A65" t="s">
        <v>617</v>
      </c>
      <c r="B65">
        <v>8.734157618490784E-4</v>
      </c>
      <c r="C65">
        <v>4.3182944506846548E-5</v>
      </c>
      <c r="D65">
        <v>4.2471379307920794</v>
      </c>
    </row>
    <row r="66" spans="1:4" x14ac:dyDescent="0.25">
      <c r="A66" t="s">
        <v>618</v>
      </c>
      <c r="B66">
        <v>3.0274003326051301E-4</v>
      </c>
      <c r="C66">
        <v>1.4967907184038671E-5</v>
      </c>
      <c r="D66">
        <v>3.234847864640805</v>
      </c>
    </row>
    <row r="67" spans="1:4" x14ac:dyDescent="0.25">
      <c r="A67" t="s">
        <v>619</v>
      </c>
      <c r="B67">
        <v>2.4942996139625672E-3</v>
      </c>
      <c r="C67">
        <v>1.2332179761170891E-4</v>
      </c>
      <c r="D67">
        <v>7.4101171301359292</v>
      </c>
    </row>
    <row r="68" spans="1:4" x14ac:dyDescent="0.25">
      <c r="A68" t="s">
        <v>620</v>
      </c>
      <c r="B68">
        <v>0.11705434440474791</v>
      </c>
      <c r="C68">
        <v>3.6773706837357242E-2</v>
      </c>
      <c r="D68">
        <v>33.590329732054862</v>
      </c>
    </row>
    <row r="69" spans="1:4" x14ac:dyDescent="0.25">
      <c r="A69" t="s">
        <v>621</v>
      </c>
      <c r="B69">
        <v>4.2964187836201824E-3</v>
      </c>
      <c r="C69">
        <v>1.349759797661517E-3</v>
      </c>
      <c r="D69">
        <v>9.5231809002579872</v>
      </c>
    </row>
    <row r="70" spans="1:4" x14ac:dyDescent="0.25">
      <c r="A70" t="s">
        <v>622</v>
      </c>
      <c r="B70">
        <v>5.2412734034960363E-3</v>
      </c>
      <c r="C70">
        <v>1.6465946016335591E-3</v>
      </c>
      <c r="D70">
        <v>5.7456676650767902</v>
      </c>
    </row>
    <row r="71" spans="1:4" x14ac:dyDescent="0.25">
      <c r="A71" t="s">
        <v>623</v>
      </c>
      <c r="B71">
        <v>2.709137670366471E-3</v>
      </c>
      <c r="C71">
        <v>1.3394370332141381E-4</v>
      </c>
      <c r="D71">
        <v>7.4437835826783258</v>
      </c>
    </row>
    <row r="72" spans="1:4" x14ac:dyDescent="0.25">
      <c r="A72" t="s">
        <v>624</v>
      </c>
      <c r="B72">
        <v>1.0306425137387609E-2</v>
      </c>
      <c r="C72">
        <v>5.0956463601203655E-4</v>
      </c>
      <c r="D72">
        <v>11.174601678761359</v>
      </c>
    </row>
    <row r="73" spans="1:4" x14ac:dyDescent="0.25">
      <c r="A73" t="s">
        <v>625</v>
      </c>
      <c r="B73">
        <v>4.4161273732388354E-3</v>
      </c>
      <c r="C73">
        <v>2.1833975481609519E-4</v>
      </c>
      <c r="D73">
        <v>10.03940036349136</v>
      </c>
    </row>
    <row r="74" spans="1:4" x14ac:dyDescent="0.25">
      <c r="A74" t="s">
        <v>626</v>
      </c>
      <c r="B74">
        <v>3.2324530404971379E-4</v>
      </c>
      <c r="C74">
        <v>1.5981717569832091E-5</v>
      </c>
      <c r="D74">
        <v>3.5148462408237848</v>
      </c>
    </row>
    <row r="75" spans="1:4" x14ac:dyDescent="0.25">
      <c r="A75" t="s">
        <v>627</v>
      </c>
      <c r="B75">
        <v>4.3891298132470004E-3</v>
      </c>
      <c r="C75">
        <v>2.170049562171873E-4</v>
      </c>
      <c r="D75">
        <v>10.084535774992791</v>
      </c>
    </row>
    <row r="76" spans="1:4" x14ac:dyDescent="0.25">
      <c r="A76" t="s">
        <v>628</v>
      </c>
      <c r="B76">
        <v>2.4870249744669581E-3</v>
      </c>
      <c r="C76">
        <v>1.2296212886352831E-4</v>
      </c>
      <c r="D76">
        <v>7.2648239573877023</v>
      </c>
    </row>
    <row r="77" spans="1:4" x14ac:dyDescent="0.25">
      <c r="A77" t="s">
        <v>629</v>
      </c>
      <c r="B77">
        <v>1.549046127879072E-3</v>
      </c>
      <c r="C77">
        <v>4.8664719343692597E-4</v>
      </c>
      <c r="D77">
        <v>3.355533357341276</v>
      </c>
    </row>
    <row r="78" spans="1:4" x14ac:dyDescent="0.25">
      <c r="A78" t="s">
        <v>630</v>
      </c>
      <c r="B78">
        <v>4.2907605894101399E-3</v>
      </c>
      <c r="C78">
        <v>1.3479822234873989E-3</v>
      </c>
      <c r="D78">
        <v>9.5194282631905747</v>
      </c>
    </row>
    <row r="79" spans="1:4" x14ac:dyDescent="0.25">
      <c r="A79" t="s">
        <v>631</v>
      </c>
      <c r="B79">
        <v>8.4946443032514127E-2</v>
      </c>
      <c r="C79">
        <v>2.6686712132207961E-2</v>
      </c>
      <c r="D79">
        <v>29.77618727589568</v>
      </c>
    </row>
    <row r="80" spans="1:4" x14ac:dyDescent="0.25">
      <c r="A80" t="s">
        <v>632</v>
      </c>
      <c r="B80">
        <v>1.0745067976886649E-3</v>
      </c>
      <c r="C80">
        <v>3.3756627341918131E-4</v>
      </c>
      <c r="D80">
        <v>6.3192024465587391</v>
      </c>
    </row>
    <row r="81" spans="1:4" x14ac:dyDescent="0.25">
      <c r="A81" t="s">
        <v>633</v>
      </c>
      <c r="B81">
        <v>2.4657526202190739E-4</v>
      </c>
      <c r="C81">
        <v>7.7463903155818199E-5</v>
      </c>
      <c r="D81">
        <v>1.5159268879783641</v>
      </c>
    </row>
    <row r="82" spans="1:4" x14ac:dyDescent="0.25">
      <c r="A82" t="s">
        <v>634</v>
      </c>
      <c r="B82">
        <v>2.8065596533637452E-4</v>
      </c>
      <c r="C82">
        <v>8.8170673778525856E-5</v>
      </c>
      <c r="D82">
        <v>2.4169687014866019</v>
      </c>
    </row>
    <row r="83" spans="1:4" x14ac:dyDescent="0.25">
      <c r="A83" t="s">
        <v>635</v>
      </c>
      <c r="B83">
        <v>9.7375951212932878E-5</v>
      </c>
      <c r="C83">
        <v>3.0591557952292833E-5</v>
      </c>
      <c r="D83">
        <v>1.8454639165567239</v>
      </c>
    </row>
    <row r="84" spans="1:4" x14ac:dyDescent="0.25">
      <c r="A84" t="s">
        <v>636</v>
      </c>
      <c r="B84">
        <v>3.7870275201921759E-4</v>
      </c>
      <c r="C84">
        <v>1.1897298091351809E-4</v>
      </c>
      <c r="D84">
        <v>4.4381361291102097</v>
      </c>
    </row>
    <row r="85" spans="1:4" x14ac:dyDescent="0.25">
      <c r="A85" t="s">
        <v>637</v>
      </c>
      <c r="B85">
        <v>7.6495654340397179E-2</v>
      </c>
      <c r="C85">
        <v>2.4031818565559832E-2</v>
      </c>
      <c r="D85">
        <v>26.171063487983631</v>
      </c>
    </row>
    <row r="86" spans="1:4" x14ac:dyDescent="0.25">
      <c r="A86" t="s">
        <v>638</v>
      </c>
      <c r="B86">
        <v>7.9152927294236924E-2</v>
      </c>
      <c r="C86">
        <v>2.486662548441829E-2</v>
      </c>
      <c r="D86">
        <v>26.206611517667039</v>
      </c>
    </row>
    <row r="87" spans="1:4" x14ac:dyDescent="0.25">
      <c r="A87" t="s">
        <v>639</v>
      </c>
      <c r="B87">
        <v>7.7807099000824949E-5</v>
      </c>
      <c r="C87">
        <v>2.4443821585492641E-5</v>
      </c>
      <c r="D87">
        <v>1.9734422149317341</v>
      </c>
    </row>
    <row r="88" spans="1:4" x14ac:dyDescent="0.25">
      <c r="A88" t="s">
        <v>640</v>
      </c>
      <c r="B88">
        <v>2.4837214294747092E-3</v>
      </c>
      <c r="C88">
        <v>1.2279879679864131E-4</v>
      </c>
      <c r="D88">
        <v>7.2529013186601574</v>
      </c>
    </row>
    <row r="89" spans="1:4" x14ac:dyDescent="0.25">
      <c r="A89" t="s">
        <v>641</v>
      </c>
      <c r="B89">
        <v>4.3833909180862607E-3</v>
      </c>
      <c r="C89">
        <v>2.1672121690085669E-4</v>
      </c>
      <c r="D89">
        <v>10.08016447814345</v>
      </c>
    </row>
    <row r="90" spans="1:4" x14ac:dyDescent="0.25">
      <c r="A90" t="s">
        <v>642</v>
      </c>
      <c r="B90">
        <v>4.2345736209771147E-2</v>
      </c>
      <c r="C90">
        <v>1.3303305375885701E-2</v>
      </c>
      <c r="D90">
        <v>20.369226140290891</v>
      </c>
    </row>
    <row r="91" spans="1:4" x14ac:dyDescent="0.25">
      <c r="A91" t="s">
        <v>643</v>
      </c>
      <c r="B91">
        <v>1.9356694054796159E-3</v>
      </c>
      <c r="C91">
        <v>6.081084914348351E-4</v>
      </c>
      <c r="D91">
        <v>7.2921001034526798</v>
      </c>
    </row>
    <row r="92" spans="1:4" x14ac:dyDescent="0.25">
      <c r="A92" t="s">
        <v>644</v>
      </c>
      <c r="B92">
        <v>0.76206065226088615</v>
      </c>
      <c r="C92">
        <v>0.2394084146217362</v>
      </c>
      <c r="D92">
        <v>85.632143773952436</v>
      </c>
    </row>
    <row r="93" spans="1:4" x14ac:dyDescent="0.25">
      <c r="A93" t="s">
        <v>645</v>
      </c>
      <c r="B93">
        <v>1.173289380537582E-3</v>
      </c>
      <c r="C93">
        <v>3.6859973774226382E-4</v>
      </c>
      <c r="D93">
        <v>4.5248264528946516</v>
      </c>
    </row>
    <row r="94" spans="1:4" x14ac:dyDescent="0.25">
      <c r="A94" t="s">
        <v>646</v>
      </c>
      <c r="B94">
        <v>1.4178960268695401E-3</v>
      </c>
      <c r="C94">
        <v>4.4544518370261902E-4</v>
      </c>
      <c r="D94">
        <v>9.2285974449765416</v>
      </c>
    </row>
    <row r="95" spans="1:4" x14ac:dyDescent="0.25">
      <c r="A95" t="s">
        <v>647</v>
      </c>
      <c r="B95">
        <v>2.019821306696503E-2</v>
      </c>
      <c r="C95">
        <v>6.3454557773143759E-3</v>
      </c>
      <c r="D95">
        <v>13.183236969766149</v>
      </c>
    </row>
    <row r="96" spans="1:4" x14ac:dyDescent="0.25">
      <c r="A96" t="s">
        <v>648</v>
      </c>
      <c r="B96">
        <v>2.4500996209978441E-3</v>
      </c>
      <c r="C96">
        <v>1.211364857282176E-4</v>
      </c>
      <c r="D96">
        <v>7.4566893032019879</v>
      </c>
    </row>
    <row r="97" spans="1:4" x14ac:dyDescent="0.25">
      <c r="A97" t="s">
        <v>649</v>
      </c>
      <c r="B97">
        <v>1.9680414908478448E-3</v>
      </c>
      <c r="C97">
        <v>9.73028312506181E-5</v>
      </c>
      <c r="D97">
        <v>10.056393468213219</v>
      </c>
    </row>
    <row r="98" spans="1:4" x14ac:dyDescent="0.25">
      <c r="A98" t="s">
        <v>650</v>
      </c>
      <c r="B98">
        <v>2.12010703187623E-2</v>
      </c>
      <c r="C98">
        <v>6.6605126747328741E-3</v>
      </c>
      <c r="D98">
        <v>13.167256952687641</v>
      </c>
    </row>
    <row r="99" spans="1:4" x14ac:dyDescent="0.25">
      <c r="A99" t="s">
        <v>651</v>
      </c>
      <c r="B99">
        <v>7.7580580290704431E-5</v>
      </c>
      <c r="C99">
        <v>2.437265863262927E-5</v>
      </c>
      <c r="D99">
        <v>1.9707841801071451</v>
      </c>
    </row>
    <row r="100" spans="1:4" x14ac:dyDescent="0.25">
      <c r="A100" t="s">
        <v>652</v>
      </c>
      <c r="B100">
        <v>2.120110683807765E-2</v>
      </c>
      <c r="C100">
        <v>6.6605241476145466E-3</v>
      </c>
      <c r="D100">
        <v>13.16726735556643</v>
      </c>
    </row>
    <row r="101" spans="1:4" x14ac:dyDescent="0.25">
      <c r="A101" t="s">
        <v>653</v>
      </c>
      <c r="B101">
        <v>3.1442204298090179E-3</v>
      </c>
      <c r="C101">
        <v>9.8778600152356084E-4</v>
      </c>
      <c r="D101">
        <v>9.4346425271124481</v>
      </c>
    </row>
    <row r="102" spans="1:4" x14ac:dyDescent="0.25">
      <c r="A102" t="s">
        <v>654</v>
      </c>
      <c r="B102">
        <v>4.7708480110314824E-3</v>
      </c>
      <c r="C102">
        <v>1.49880610596188E-3</v>
      </c>
      <c r="D102">
        <v>6.2357713551884286</v>
      </c>
    </row>
    <row r="103" spans="1:4" x14ac:dyDescent="0.25">
      <c r="A103" t="s">
        <v>655</v>
      </c>
      <c r="B103">
        <v>3.3758074034031832E-4</v>
      </c>
      <c r="C103">
        <v>1.6690482372105991E-5</v>
      </c>
      <c r="D103">
        <v>3.622404510415878</v>
      </c>
    </row>
    <row r="104" spans="1:4" x14ac:dyDescent="0.25">
      <c r="A104" t="s">
        <v>656</v>
      </c>
      <c r="B104">
        <v>9.4178069616175988E-4</v>
      </c>
      <c r="C104">
        <v>4.6563006206887327E-5</v>
      </c>
      <c r="D104">
        <v>4.3745265160559894</v>
      </c>
    </row>
    <row r="105" spans="1:4" x14ac:dyDescent="0.25">
      <c r="A105" t="s">
        <v>657</v>
      </c>
      <c r="B105">
        <v>4.2077017344953772E-4</v>
      </c>
      <c r="C105">
        <v>1.3218885140895559E-4</v>
      </c>
      <c r="D105">
        <v>4.5874101690067342</v>
      </c>
    </row>
    <row r="106" spans="1:4" x14ac:dyDescent="0.25">
      <c r="A106" t="s">
        <v>658</v>
      </c>
      <c r="B106">
        <v>3.4541989565614688E-3</v>
      </c>
      <c r="C106">
        <v>1.085168606363741E-3</v>
      </c>
      <c r="D106">
        <v>5.4342890114506162</v>
      </c>
    </row>
    <row r="107" spans="1:4" x14ac:dyDescent="0.25">
      <c r="A107" t="s">
        <v>659</v>
      </c>
      <c r="B107">
        <v>2.982445531185627E-4</v>
      </c>
      <c r="C107">
        <v>1.47456441129993E-5</v>
      </c>
      <c r="D107">
        <v>3.1048827730388289</v>
      </c>
    </row>
    <row r="108" spans="1:4" x14ac:dyDescent="0.25">
      <c r="A108" t="s">
        <v>660</v>
      </c>
      <c r="B108">
        <v>2.436517711299152E-3</v>
      </c>
      <c r="C108">
        <v>1.204649763759708E-4</v>
      </c>
      <c r="D108">
        <v>7.4318697223819772</v>
      </c>
    </row>
    <row r="109" spans="1:4" x14ac:dyDescent="0.25">
      <c r="A109" t="s">
        <v>661</v>
      </c>
      <c r="B109">
        <v>4.1036133499572879E-4</v>
      </c>
      <c r="C109">
        <v>1.289188182965759E-4</v>
      </c>
      <c r="D109">
        <v>3.528290514021736</v>
      </c>
    </row>
    <row r="110" spans="1:4" x14ac:dyDescent="0.25">
      <c r="A110" t="s">
        <v>662</v>
      </c>
      <c r="B110">
        <v>4.1964630011869352E-3</v>
      </c>
      <c r="C110">
        <v>1.318357733276097E-3</v>
      </c>
      <c r="D110">
        <v>5.8282293603645128</v>
      </c>
    </row>
    <row r="111" spans="1:4" x14ac:dyDescent="0.25">
      <c r="A111" t="s">
        <v>663</v>
      </c>
      <c r="B111">
        <v>4.2772839615374571E-3</v>
      </c>
      <c r="C111">
        <v>2.1147513477556051E-4</v>
      </c>
      <c r="D111">
        <v>9.6893829119399815</v>
      </c>
    </row>
    <row r="112" spans="1:4" x14ac:dyDescent="0.25">
      <c r="A112" t="s">
        <v>664</v>
      </c>
      <c r="B112">
        <v>8.5042989751531184E-4</v>
      </c>
      <c r="C112">
        <v>4.2046489971388559E-5</v>
      </c>
      <c r="D112">
        <v>4.3806879239118652</v>
      </c>
    </row>
    <row r="113" spans="1:4" x14ac:dyDescent="0.25">
      <c r="A113" t="s">
        <v>665</v>
      </c>
      <c r="B113">
        <v>2.4550456447331669E-3</v>
      </c>
      <c r="C113">
        <v>1.213810243295543E-4</v>
      </c>
      <c r="D113">
        <v>7.4366757439218354</v>
      </c>
    </row>
    <row r="114" spans="1:4" x14ac:dyDescent="0.25">
      <c r="A114" t="s">
        <v>666</v>
      </c>
      <c r="B114">
        <v>4.1237097405831188E-4</v>
      </c>
      <c r="C114">
        <v>1.29550165041967E-4</v>
      </c>
      <c r="D114">
        <v>3.5986752346128141</v>
      </c>
    </row>
    <row r="115" spans="1:4" x14ac:dyDescent="0.25">
      <c r="A115" t="s">
        <v>667</v>
      </c>
      <c r="B115">
        <v>1.527634862017206E-3</v>
      </c>
      <c r="C115">
        <v>4.7992064588463489E-4</v>
      </c>
      <c r="D115">
        <v>3.2501867501198869</v>
      </c>
    </row>
    <row r="116" spans="1:4" x14ac:dyDescent="0.25">
      <c r="A116" t="s">
        <v>668</v>
      </c>
      <c r="B116">
        <v>5.5185250686816054E-4</v>
      </c>
      <c r="C116">
        <v>1.7336958185927039E-4</v>
      </c>
      <c r="D116">
        <v>4.2446605879330859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Y2"/>
  <sheetViews>
    <sheetView workbookViewId="0"/>
  </sheetViews>
  <sheetFormatPr defaultRowHeight="15" x14ac:dyDescent="0.25"/>
  <sheetData>
    <row r="1" spans="1:51" x14ac:dyDescent="0.25">
      <c r="A1" t="s">
        <v>669</v>
      </c>
      <c r="B1" t="s">
        <v>670</v>
      </c>
      <c r="C1" t="s">
        <v>671</v>
      </c>
      <c r="D1" t="s">
        <v>672</v>
      </c>
      <c r="E1" t="s">
        <v>673</v>
      </c>
      <c r="F1" t="s">
        <v>674</v>
      </c>
      <c r="G1" t="s">
        <v>675</v>
      </c>
      <c r="H1" t="s">
        <v>676</v>
      </c>
      <c r="I1" t="s">
        <v>677</v>
      </c>
      <c r="J1" t="s">
        <v>678</v>
      </c>
      <c r="K1" t="s">
        <v>679</v>
      </c>
      <c r="L1" t="s">
        <v>680</v>
      </c>
      <c r="M1" t="s">
        <v>681</v>
      </c>
      <c r="N1" t="s">
        <v>533</v>
      </c>
      <c r="O1" t="s">
        <v>537</v>
      </c>
      <c r="P1" t="s">
        <v>541</v>
      </c>
      <c r="Q1" t="s">
        <v>682</v>
      </c>
      <c r="R1" t="s">
        <v>546</v>
      </c>
      <c r="S1" t="s">
        <v>535</v>
      </c>
      <c r="T1" t="s">
        <v>539</v>
      </c>
      <c r="U1" t="s">
        <v>543</v>
      </c>
      <c r="V1" t="s">
        <v>683</v>
      </c>
      <c r="W1" t="s">
        <v>684</v>
      </c>
      <c r="X1" t="s">
        <v>685</v>
      </c>
      <c r="Y1" t="s">
        <v>686</v>
      </c>
      <c r="Z1" t="s">
        <v>687</v>
      </c>
      <c r="AA1" t="s">
        <v>688</v>
      </c>
      <c r="AB1" t="s">
        <v>689</v>
      </c>
      <c r="AC1" t="s">
        <v>690</v>
      </c>
      <c r="AD1" t="s">
        <v>691</v>
      </c>
      <c r="AE1" t="s">
        <v>692</v>
      </c>
      <c r="AF1" t="s">
        <v>693</v>
      </c>
      <c r="AG1" t="s">
        <v>694</v>
      </c>
      <c r="AH1" t="s">
        <v>695</v>
      </c>
      <c r="AI1" t="s">
        <v>696</v>
      </c>
      <c r="AJ1" t="s">
        <v>697</v>
      </c>
      <c r="AK1" t="s">
        <v>698</v>
      </c>
      <c r="AL1" t="s">
        <v>699</v>
      </c>
      <c r="AM1" t="s">
        <v>700</v>
      </c>
      <c r="AN1" t="s">
        <v>701</v>
      </c>
      <c r="AO1" t="s">
        <v>702</v>
      </c>
      <c r="AP1" t="s">
        <v>703</v>
      </c>
      <c r="AQ1" t="s">
        <v>704</v>
      </c>
      <c r="AR1" t="s">
        <v>705</v>
      </c>
      <c r="AS1" t="s">
        <v>706</v>
      </c>
      <c r="AT1" t="s">
        <v>707</v>
      </c>
      <c r="AU1" t="s">
        <v>708</v>
      </c>
      <c r="AV1" t="s">
        <v>709</v>
      </c>
      <c r="AW1" t="s">
        <v>710</v>
      </c>
      <c r="AX1" t="s">
        <v>711</v>
      </c>
      <c r="AY1" t="s">
        <v>712</v>
      </c>
    </row>
    <row r="2" spans="1:51" x14ac:dyDescent="0.25">
      <c r="A2">
        <v>1.1804817004035271</v>
      </c>
      <c r="B2">
        <v>1.0437936584499889</v>
      </c>
      <c r="C2">
        <v>0.1135002388702596</v>
      </c>
      <c r="D2">
        <v>0.18048170040352679</v>
      </c>
      <c r="E2">
        <v>0.1181944803715311</v>
      </c>
      <c r="F2">
        <v>7.1553555490068213E-2</v>
      </c>
      <c r="G2">
        <v>7.9534388469851391E-2</v>
      </c>
      <c r="H2">
        <v>4.1320312133072088</v>
      </c>
      <c r="I2">
        <v>2.1503631003613132E-3</v>
      </c>
      <c r="J2">
        <v>3.5200050722826379E-3</v>
      </c>
      <c r="K2">
        <v>2.864918984849656E-2</v>
      </c>
      <c r="L2">
        <v>4.1320312133028947E-2</v>
      </c>
      <c r="M2">
        <v>2.0295810309868031E-2</v>
      </c>
      <c r="N2">
        <v>95.341188797656855</v>
      </c>
      <c r="O2">
        <v>111.2067355246464</v>
      </c>
      <c r="P2">
        <v>159.3722077908744</v>
      </c>
      <c r="Q2">
        <v>30.661469925558428</v>
      </c>
      <c r="R2">
        <v>8.3145040013366689</v>
      </c>
      <c r="S2">
        <v>23.118982528156039</v>
      </c>
      <c r="T2">
        <v>20.564287661671461</v>
      </c>
      <c r="U2">
        <v>36.308338087915423</v>
      </c>
      <c r="V2">
        <v>79.991608277742927</v>
      </c>
      <c r="W2">
        <v>0</v>
      </c>
      <c r="X2">
        <v>7.5049968675444418</v>
      </c>
      <c r="Y2">
        <v>2.867804485244049E-5</v>
      </c>
      <c r="Z2">
        <v>0</v>
      </c>
      <c r="AA2">
        <v>0</v>
      </c>
      <c r="AB2">
        <v>0</v>
      </c>
      <c r="AC2">
        <v>0</v>
      </c>
      <c r="AD2">
        <v>2.3320025238755311</v>
      </c>
      <c r="AE2">
        <v>-2.387519202229783E-5</v>
      </c>
      <c r="AF2">
        <v>177.50002264976499</v>
      </c>
      <c r="AG2">
        <v>0</v>
      </c>
      <c r="AH2">
        <v>8.3145040013366689</v>
      </c>
      <c r="AI2">
        <v>0.1181944803715311</v>
      </c>
      <c r="AJ2">
        <v>4.1320312133028947E-2</v>
      </c>
      <c r="AK2">
        <v>0.30661469925558432</v>
      </c>
      <c r="AL2">
        <v>0.31996643311097173</v>
      </c>
      <c r="AM2">
        <v>17970.481248953929</v>
      </c>
      <c r="AN2">
        <v>0</v>
      </c>
      <c r="AO2">
        <v>0</v>
      </c>
      <c r="AP2">
        <v>1797048.2200276221</v>
      </c>
      <c r="AQ2">
        <v>1797048.3998343281</v>
      </c>
      <c r="AR2" t="s">
        <v>713</v>
      </c>
      <c r="AY2" t="s">
        <v>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control_config</vt:lpstr>
      <vt:lpstr>loads_input</vt:lpstr>
      <vt:lpstr>pv_input</vt:lpstr>
      <vt:lpstr>other_generators_input</vt:lpstr>
      <vt:lpstr>storage_input</vt:lpstr>
      <vt:lpstr>node_voltages</vt:lpstr>
      <vt:lpstr>node_sequence_components</vt:lpstr>
      <vt:lpstr>transformer_phase_results</vt:lpstr>
      <vt:lpstr>pv_setpoints</vt:lpstr>
      <vt:lpstr>storage_setpoints</vt:lpstr>
      <vt:lpstr>branch_losses</vt:lpstr>
      <vt:lpstr>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Przepiórka</cp:lastModifiedBy>
  <dcterms:created xsi:type="dcterms:W3CDTF">2026-05-19T09:29:32Z</dcterms:created>
  <dcterms:modified xsi:type="dcterms:W3CDTF">2026-05-19T10:50:15Z</dcterms:modified>
</cp:coreProperties>
</file>