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N:\ksiz\STUDIA_DOKTORANCKIE\PRZEPIORKA\Artykuły\ZET 2026\Badania\"/>
    </mc:Choice>
  </mc:AlternateContent>
  <xr:revisionPtr revIDLastSave="0" documentId="13_ncr:1_{BEA353FC-75A9-4A11-ADC6-7CD1E6DE444B}" xr6:coauthVersionLast="47" xr6:coauthVersionMax="47" xr10:uidLastSave="{00000000-0000-0000-0000-000000000000}"/>
  <bookViews>
    <workbookView xWindow="28680" yWindow="-120" windowWidth="29040" windowHeight="15720" xr2:uid="{F1077B6A-ED6D-48F5-AB56-1F6DF4EDD678}"/>
  </bookViews>
  <sheets>
    <sheet name="ControlConfig" sheetId="10" r:id="rId1"/>
    <sheet name="StorageSteps" sheetId="12" r:id="rId2"/>
    <sheet name="Bus" sheetId="8" r:id="rId3"/>
    <sheet name="Line" sheetId="9" r:id="rId4"/>
    <sheet name="Loads" sheetId="2" r:id="rId5"/>
    <sheet name="PV" sheetId="3" r:id="rId6"/>
    <sheet name="StatGen" sheetId="4" r:id="rId7"/>
    <sheet name="StorageCandidates" sheetId="6" r:id="rId8"/>
    <sheet name="Vars" sheetId="5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9" i="3" l="1"/>
  <c r="E3" i="10"/>
  <c r="E2" i="10"/>
  <c r="G59" i="2"/>
  <c r="F59" i="2"/>
  <c r="E59" i="2"/>
  <c r="G60" i="2" s="1"/>
  <c r="D60" i="2"/>
  <c r="C59" i="2"/>
  <c r="D59" i="2"/>
  <c r="B59" i="2"/>
</calcChain>
</file>

<file path=xl/sharedStrings.xml><?xml version="1.0" encoding="utf-8"?>
<sst xmlns="http://schemas.openxmlformats.org/spreadsheetml/2006/main" count="1765" uniqueCount="604">
  <si>
    <t>name</t>
  </si>
  <si>
    <t>P</t>
  </si>
  <si>
    <t>Q</t>
  </si>
  <si>
    <t>0.0</t>
  </si>
  <si>
    <t>ES2F1</t>
  </si>
  <si>
    <t>ES2F2</t>
  </si>
  <si>
    <t>ES2F3</t>
  </si>
  <si>
    <t>ES4F1</t>
  </si>
  <si>
    <t>ES4F2</t>
  </si>
  <si>
    <t>ES4F3</t>
  </si>
  <si>
    <t>ES8F1</t>
  </si>
  <si>
    <t>ES8F2</t>
  </si>
  <si>
    <t>ES8F3</t>
  </si>
  <si>
    <t>ES14F1</t>
  </si>
  <si>
    <t>ES14F2</t>
  </si>
  <si>
    <t>ES14F3</t>
  </si>
  <si>
    <t>ES15F1</t>
  </si>
  <si>
    <t>ES15F2</t>
  </si>
  <si>
    <t>ES15F3</t>
  </si>
  <si>
    <t>ES28F1</t>
  </si>
  <si>
    <t>ES28F2</t>
  </si>
  <si>
    <t>ES28F3</t>
  </si>
  <si>
    <t>ES29F1</t>
  </si>
  <si>
    <t>ES29F2</t>
  </si>
  <si>
    <t>ES29F3</t>
  </si>
  <si>
    <t>ES32F1</t>
  </si>
  <si>
    <t>ES32F2</t>
  </si>
  <si>
    <t>ES32F3</t>
  </si>
  <si>
    <t>ES35F1</t>
  </si>
  <si>
    <t>ES35F2</t>
  </si>
  <si>
    <t>ES35F3</t>
  </si>
  <si>
    <t>ES38F1</t>
  </si>
  <si>
    <t>ES38F2</t>
  </si>
  <si>
    <t>ES38F3</t>
  </si>
  <si>
    <t>ES39F1</t>
  </si>
  <si>
    <t>ES39F2</t>
  </si>
  <si>
    <t>ES39F3</t>
  </si>
  <si>
    <t>ES41F1</t>
  </si>
  <si>
    <t>ES41F2</t>
  </si>
  <si>
    <t>ES41F3</t>
  </si>
  <si>
    <t>ES43F1</t>
  </si>
  <si>
    <t>ES43F2</t>
  </si>
  <si>
    <t>ES43F3</t>
  </si>
  <si>
    <t>ES48F1</t>
  </si>
  <si>
    <t>ES48F2</t>
  </si>
  <si>
    <t>ES48F3</t>
  </si>
  <si>
    <t>ES51F1</t>
  </si>
  <si>
    <t>ES51F2</t>
  </si>
  <si>
    <t>ES51F3</t>
  </si>
  <si>
    <t>ES53F1</t>
  </si>
  <si>
    <t>ES53F2</t>
  </si>
  <si>
    <t>ES53F3</t>
  </si>
  <si>
    <t>ES54F1</t>
  </si>
  <si>
    <t>ES54F2</t>
  </si>
  <si>
    <t>ES54F3</t>
  </si>
  <si>
    <t>ES55F1</t>
  </si>
  <si>
    <t>ES55F2</t>
  </si>
  <si>
    <t>ES55F3</t>
  </si>
  <si>
    <t>ES58F1</t>
  </si>
  <si>
    <t>ES58F2</t>
  </si>
  <si>
    <t>ES58F3</t>
  </si>
  <si>
    <t>ES59F1</t>
  </si>
  <si>
    <t>ES59F2</t>
  </si>
  <si>
    <t>ES59F3</t>
  </si>
  <si>
    <t>ES65F1</t>
  </si>
  <si>
    <t>ES65F2</t>
  </si>
  <si>
    <t>ES65F3</t>
  </si>
  <si>
    <t>ES66F1</t>
  </si>
  <si>
    <t>ES66F2</t>
  </si>
  <si>
    <t>ES66F3</t>
  </si>
  <si>
    <t>ES68F1</t>
  </si>
  <si>
    <t>ES68F2</t>
  </si>
  <si>
    <t>ES68F3</t>
  </si>
  <si>
    <t>ES69F1</t>
  </si>
  <si>
    <t>ES69F2</t>
  </si>
  <si>
    <t>ES69F3</t>
  </si>
  <si>
    <t>ES70F1</t>
  </si>
  <si>
    <t>ES70F2</t>
  </si>
  <si>
    <t>ES70F3</t>
  </si>
  <si>
    <t>ES71F1</t>
  </si>
  <si>
    <t>ES71F2</t>
  </si>
  <si>
    <t>ES71F3</t>
  </si>
  <si>
    <t>ES74F1</t>
  </si>
  <si>
    <t>ES74F2</t>
  </si>
  <si>
    <t>ES74F3</t>
  </si>
  <si>
    <t>ES79F1</t>
  </si>
  <si>
    <t>ES79F2</t>
  </si>
  <si>
    <t>ES79F3</t>
  </si>
  <si>
    <t>ES82F1</t>
  </si>
  <si>
    <t>ES82F2</t>
  </si>
  <si>
    <t>ES82F3</t>
  </si>
  <si>
    <t>ES85F1</t>
  </si>
  <si>
    <t>ES85F2</t>
  </si>
  <si>
    <t>ES85F3</t>
  </si>
  <si>
    <t>ES86F1</t>
  </si>
  <si>
    <t>ES86F2</t>
  </si>
  <si>
    <t>ES86F3</t>
  </si>
  <si>
    <t>ES89F1</t>
  </si>
  <si>
    <t>ES89F2</t>
  </si>
  <si>
    <t>ES89F3</t>
  </si>
  <si>
    <t>ES90F1</t>
  </si>
  <si>
    <t>ES90F2</t>
  </si>
  <si>
    <t>ES90F3</t>
  </si>
  <si>
    <t>ES92F1</t>
  </si>
  <si>
    <t>ES92F2</t>
  </si>
  <si>
    <t>ES92F3</t>
  </si>
  <si>
    <t>ES99F1</t>
  </si>
  <si>
    <t>ES99F2</t>
  </si>
  <si>
    <t>ES99F3</t>
  </si>
  <si>
    <t>ES100F1</t>
  </si>
  <si>
    <t>ES100F2</t>
  </si>
  <si>
    <t>ES100F3</t>
  </si>
  <si>
    <t>ES101F1</t>
  </si>
  <si>
    <t>ES101F2</t>
  </si>
  <si>
    <t>ES101F3</t>
  </si>
  <si>
    <t>ES110F1</t>
  </si>
  <si>
    <t>ES110F2</t>
  </si>
  <si>
    <t>ES110F3</t>
  </si>
  <si>
    <t>PV5F1</t>
  </si>
  <si>
    <t>PV5F2</t>
  </si>
  <si>
    <t>PV5F3</t>
  </si>
  <si>
    <t>PV7F1</t>
  </si>
  <si>
    <t>PV7F2</t>
  </si>
  <si>
    <t>PV7F3</t>
  </si>
  <si>
    <t>PV10F1</t>
  </si>
  <si>
    <t>PV10F2</t>
  </si>
  <si>
    <t>PV10F3</t>
  </si>
  <si>
    <t>PV11F1</t>
  </si>
  <si>
    <t>PV11F2</t>
  </si>
  <si>
    <t>PV11F3</t>
  </si>
  <si>
    <t>PV12F1</t>
  </si>
  <si>
    <t>PV12F2</t>
  </si>
  <si>
    <t>PV12F3</t>
  </si>
  <si>
    <t>PV13F1</t>
  </si>
  <si>
    <t>PV13F2</t>
  </si>
  <si>
    <t>PV13F3</t>
  </si>
  <si>
    <t>PV21F1</t>
  </si>
  <si>
    <t>PV21F2</t>
  </si>
  <si>
    <t>PV21F3</t>
  </si>
  <si>
    <t>PV25F1</t>
  </si>
  <si>
    <t>PV25F2</t>
  </si>
  <si>
    <t>PV25F3</t>
  </si>
  <si>
    <t>PV26F1</t>
  </si>
  <si>
    <t>PV26F2</t>
  </si>
  <si>
    <t>PV26F3</t>
  </si>
  <si>
    <t>PV29F1</t>
  </si>
  <si>
    <t>PV29F2</t>
  </si>
  <si>
    <t>PV29F3</t>
  </si>
  <si>
    <t>PV30F1</t>
  </si>
  <si>
    <t>PV30F2</t>
  </si>
  <si>
    <t>PV30F3</t>
  </si>
  <si>
    <t>PV33F1</t>
  </si>
  <si>
    <t>PV33F2</t>
  </si>
  <si>
    <t>PV33F3</t>
  </si>
  <si>
    <t>PV34F1</t>
  </si>
  <si>
    <t>PV34F2</t>
  </si>
  <si>
    <t>PV34F3</t>
  </si>
  <si>
    <t>PV37F1</t>
  </si>
  <si>
    <t>PV37F2</t>
  </si>
  <si>
    <t>PV37F3</t>
  </si>
  <si>
    <t>PV39F1</t>
  </si>
  <si>
    <t>PV39F2</t>
  </si>
  <si>
    <t>PV39F3</t>
  </si>
  <si>
    <t>PV40F1</t>
  </si>
  <si>
    <t>PV40F2</t>
  </si>
  <si>
    <t>PV40F3</t>
  </si>
  <si>
    <t>PV42F1</t>
  </si>
  <si>
    <t>PV42F2</t>
  </si>
  <si>
    <t>PV42F3</t>
  </si>
  <si>
    <t>PV45F1</t>
  </si>
  <si>
    <t>PV45F2</t>
  </si>
  <si>
    <t>PV45F3</t>
  </si>
  <si>
    <t>PV46F1</t>
  </si>
  <si>
    <t>PV46F2</t>
  </si>
  <si>
    <t>PV46F3</t>
  </si>
  <si>
    <t>PV47F1</t>
  </si>
  <si>
    <t>PV47F2</t>
  </si>
  <si>
    <t>PV47F3</t>
  </si>
  <si>
    <t>PV49F1</t>
  </si>
  <si>
    <t>PV49F2</t>
  </si>
  <si>
    <t>PV49F3</t>
  </si>
  <si>
    <t>PV50F1</t>
  </si>
  <si>
    <t>PV50F2</t>
  </si>
  <si>
    <t>PV50F3</t>
  </si>
  <si>
    <t>PV52F1</t>
  </si>
  <si>
    <t>PV52F2</t>
  </si>
  <si>
    <t>PV52F3</t>
  </si>
  <si>
    <t>PV54F1</t>
  </si>
  <si>
    <t>PV54F2</t>
  </si>
  <si>
    <t>PV54F3</t>
  </si>
  <si>
    <t>PV57F1</t>
  </si>
  <si>
    <t>PV57F2</t>
  </si>
  <si>
    <t>PV57F3</t>
  </si>
  <si>
    <t>PV60F1</t>
  </si>
  <si>
    <t>PV60F2</t>
  </si>
  <si>
    <t>PV60F3</t>
  </si>
  <si>
    <t>PV62F1</t>
  </si>
  <si>
    <t>PV62F2</t>
  </si>
  <si>
    <t>PV62F3</t>
  </si>
  <si>
    <t>PV64F1</t>
  </si>
  <si>
    <t>PV64F2</t>
  </si>
  <si>
    <t>PV64F3</t>
  </si>
  <si>
    <t>PV66F1</t>
  </si>
  <si>
    <t>PV66F2</t>
  </si>
  <si>
    <t>PV66F3</t>
  </si>
  <si>
    <t>PV67F1</t>
  </si>
  <si>
    <t>PV67F2</t>
  </si>
  <si>
    <t>PV67F3</t>
  </si>
  <si>
    <t>PV72F1</t>
  </si>
  <si>
    <t>PV72F2</t>
  </si>
  <si>
    <t>PV72F3</t>
  </si>
  <si>
    <t>PV73F1</t>
  </si>
  <si>
    <t>PV73F2</t>
  </si>
  <si>
    <t>PV73F3</t>
  </si>
  <si>
    <t>PV75F1</t>
  </si>
  <si>
    <t>PV75F2</t>
  </si>
  <si>
    <t>PV75F3</t>
  </si>
  <si>
    <t>PV76F1</t>
  </si>
  <si>
    <t>PV76F2</t>
  </si>
  <si>
    <t>PV76F3</t>
  </si>
  <si>
    <t>PV77F1</t>
  </si>
  <si>
    <t>PV77F2</t>
  </si>
  <si>
    <t>PV77F3</t>
  </si>
  <si>
    <t>PV80F1</t>
  </si>
  <si>
    <t>PV80F2</t>
  </si>
  <si>
    <t>PV80F3</t>
  </si>
  <si>
    <t>PV81F1</t>
  </si>
  <si>
    <t>PV81F2</t>
  </si>
  <si>
    <t>PV81F3</t>
  </si>
  <si>
    <t>PV83F1</t>
  </si>
  <si>
    <t>PV83F2</t>
  </si>
  <si>
    <t>PV83F3</t>
  </si>
  <si>
    <t>PV87F1</t>
  </si>
  <si>
    <t>PV87F2</t>
  </si>
  <si>
    <t>PV87F3</t>
  </si>
  <si>
    <t>PV88F1</t>
  </si>
  <si>
    <t>PV88F2</t>
  </si>
  <si>
    <t>PV88F3</t>
  </si>
  <si>
    <t>PV93F1</t>
  </si>
  <si>
    <t>PV93F2</t>
  </si>
  <si>
    <t>PV93F3</t>
  </si>
  <si>
    <t>PV95F1</t>
  </si>
  <si>
    <t>PV95F2</t>
  </si>
  <si>
    <t>PV95F3</t>
  </si>
  <si>
    <t>PV96F1</t>
  </si>
  <si>
    <t>PV96F2</t>
  </si>
  <si>
    <t>PV96F3</t>
  </si>
  <si>
    <t>PV97F1</t>
  </si>
  <si>
    <t>PV97F2</t>
  </si>
  <si>
    <t>PV97F3</t>
  </si>
  <si>
    <t>PV102F1</t>
  </si>
  <si>
    <t>PV102F2</t>
  </si>
  <si>
    <t>PV102F3</t>
  </si>
  <si>
    <t>PV103F1</t>
  </si>
  <si>
    <t>PV103F2</t>
  </si>
  <si>
    <t>PV103F3</t>
  </si>
  <si>
    <t>PV104F1</t>
  </si>
  <si>
    <t>PV104F2</t>
  </si>
  <si>
    <t>PV104F3</t>
  </si>
  <si>
    <t>PV106F1</t>
  </si>
  <si>
    <t>PV106F2</t>
  </si>
  <si>
    <t>PV106F3</t>
  </si>
  <si>
    <t>PV107F1</t>
  </si>
  <si>
    <t>PV107F2</t>
  </si>
  <si>
    <t>PV107F3</t>
  </si>
  <si>
    <t>PV110F1</t>
  </si>
  <si>
    <t>PV110F2</t>
  </si>
  <si>
    <t>PV110F3</t>
  </si>
  <si>
    <t>PV112F1</t>
  </si>
  <si>
    <t>PV112F2</t>
  </si>
  <si>
    <t>PV112F3</t>
  </si>
  <si>
    <t>PV113F1</t>
  </si>
  <si>
    <t>PV113F2</t>
  </si>
  <si>
    <t>PV113F3</t>
  </si>
  <si>
    <t>PV114F1</t>
  </si>
  <si>
    <t>PV114F2</t>
  </si>
  <si>
    <t>PV114F3</t>
  </si>
  <si>
    <t>PV115F1</t>
  </si>
  <si>
    <t>PV115F2</t>
  </si>
  <si>
    <t>PV115F3</t>
  </si>
  <si>
    <t>PV116F1</t>
  </si>
  <si>
    <t>PV116F2</t>
  </si>
  <si>
    <t>PV116F3</t>
  </si>
  <si>
    <t>LD5</t>
  </si>
  <si>
    <t>LD7</t>
  </si>
  <si>
    <t>LD10</t>
  </si>
  <si>
    <t>LD11</t>
  </si>
  <si>
    <t>LD12</t>
  </si>
  <si>
    <t>LD13</t>
  </si>
  <si>
    <t>LD21</t>
  </si>
  <si>
    <t>LD25</t>
  </si>
  <si>
    <t>LD26</t>
  </si>
  <si>
    <t>LD29</t>
  </si>
  <si>
    <t>LD30</t>
  </si>
  <si>
    <t>LD33</t>
  </si>
  <si>
    <t>LD34</t>
  </si>
  <si>
    <t>LD37</t>
  </si>
  <si>
    <t>LD39</t>
  </si>
  <si>
    <t>LD40</t>
  </si>
  <si>
    <t>LD42</t>
  </si>
  <si>
    <t>LD45</t>
  </si>
  <si>
    <t>LD46</t>
  </si>
  <si>
    <t>LD47</t>
  </si>
  <si>
    <t>LD49</t>
  </si>
  <si>
    <t>LD50</t>
  </si>
  <si>
    <t>LD52</t>
  </si>
  <si>
    <t>LD54</t>
  </si>
  <si>
    <t>LD57</t>
  </si>
  <si>
    <t>LD60</t>
  </si>
  <si>
    <t>LD62</t>
  </si>
  <si>
    <t>LD64</t>
  </si>
  <si>
    <t>LD66</t>
  </si>
  <si>
    <t>LD67</t>
  </si>
  <si>
    <t>LD72</t>
  </si>
  <si>
    <t>LD73</t>
  </si>
  <si>
    <t>LD75</t>
  </si>
  <si>
    <t>LD76</t>
  </si>
  <si>
    <t>LD77</t>
  </si>
  <si>
    <t>LD80</t>
  </si>
  <si>
    <t>LD81</t>
  </si>
  <si>
    <t>LD83</t>
  </si>
  <si>
    <t>LD87</t>
  </si>
  <si>
    <t>LD88</t>
  </si>
  <si>
    <t>LD93</t>
  </si>
  <si>
    <t>LD95</t>
  </si>
  <si>
    <t>LD96</t>
  </si>
  <si>
    <t>LD97</t>
  </si>
  <si>
    <t>LD102</t>
  </si>
  <si>
    <t>LD103</t>
  </si>
  <si>
    <t>LD104</t>
  </si>
  <si>
    <t>LD106</t>
  </si>
  <si>
    <t>LD107</t>
  </si>
  <si>
    <t>LD110</t>
  </si>
  <si>
    <t>LD112</t>
  </si>
  <si>
    <t>LD113</t>
  </si>
  <si>
    <t>LD114</t>
  </si>
  <si>
    <t>LD115</t>
  </si>
  <si>
    <t>LD116</t>
  </si>
  <si>
    <t>P1</t>
  </si>
  <si>
    <t>P2</t>
  </si>
  <si>
    <t>P3</t>
  </si>
  <si>
    <t>Q1</t>
  </si>
  <si>
    <t>Q2</t>
  </si>
  <si>
    <t>Q3</t>
  </si>
  <si>
    <t>pf_class</t>
  </si>
  <si>
    <t>attr</t>
  </si>
  <si>
    <t>min</t>
  </si>
  <si>
    <t>max</t>
  </si>
  <si>
    <t>pgini</t>
  </si>
  <si>
    <t>3.33</t>
  </si>
  <si>
    <t>3.68</t>
  </si>
  <si>
    <t>ElmGenstat</t>
  </si>
  <si>
    <t>ES40F1</t>
  </si>
  <si>
    <t>ES40F2</t>
  </si>
  <si>
    <t>ES40F3</t>
  </si>
  <si>
    <t>ES50F1</t>
  </si>
  <si>
    <t>ES50F2</t>
  </si>
  <si>
    <t>ES50F3</t>
  </si>
  <si>
    <t>ES80F1</t>
  </si>
  <si>
    <t>ES80F2</t>
  </si>
  <si>
    <t>ES80F3</t>
  </si>
  <si>
    <t>node</t>
  </si>
  <si>
    <t>elem_A</t>
  </si>
  <si>
    <t>elem_B</t>
  </si>
  <si>
    <t>elem_C</t>
  </si>
  <si>
    <t>-10</t>
  </si>
  <si>
    <t>10</t>
  </si>
  <si>
    <t>qgini</t>
  </si>
  <si>
    <t>70</t>
  </si>
  <si>
    <t>-3.33</t>
  </si>
  <si>
    <t>ElmPvsys</t>
  </si>
  <si>
    <t>1f</t>
  </si>
  <si>
    <t>3F</t>
  </si>
  <si>
    <t>Węzeł</t>
  </si>
  <si>
    <t>1-3 fazy</t>
  </si>
  <si>
    <t>moc</t>
  </si>
  <si>
    <t>Name</t>
  </si>
  <si>
    <t>Voltage</t>
  </si>
  <si>
    <t>Transformer uper side</t>
  </si>
  <si>
    <t>Transformer down side</t>
  </si>
  <si>
    <t>Terminal i</t>
  </si>
  <si>
    <t>Terminal j</t>
  </si>
  <si>
    <t>Phase Current, Magnitude A Terminal i [Terminal i in kA)</t>
  </si>
  <si>
    <t>m:l:bus1:A</t>
  </si>
  <si>
    <t>Attribute</t>
  </si>
  <si>
    <t>Value</t>
  </si>
  <si>
    <t>Phase Currenț Magnitude B Terminal i [Terminal i in kA]</t>
  </si>
  <si>
    <t>m:l:bus1:B</t>
  </si>
  <si>
    <t>m:l:bus1:C</t>
  </si>
  <si>
    <t>Phase Current, Magnitude C Terminal i [Terminal i in kA]</t>
  </si>
  <si>
    <t>End</t>
  </si>
  <si>
    <t>Ln1.2</t>
  </si>
  <si>
    <t>Ln2.3</t>
  </si>
  <si>
    <t>Ln2.4</t>
  </si>
  <si>
    <t>Ln3.5</t>
  </si>
  <si>
    <t>Ln4.6</t>
  </si>
  <si>
    <t>Ln6.7</t>
  </si>
  <si>
    <t>Ln4.8</t>
  </si>
  <si>
    <t>Ln8.9</t>
  </si>
  <si>
    <t>Ln3.10</t>
  </si>
  <si>
    <t>Ln9.11</t>
  </si>
  <si>
    <t>Ln9.12</t>
  </si>
  <si>
    <t>Ln6.13</t>
  </si>
  <si>
    <t>Ln8.14</t>
  </si>
  <si>
    <t>Ln14.15</t>
  </si>
  <si>
    <t>Ln15.16</t>
  </si>
  <si>
    <t>Ln16.17</t>
  </si>
  <si>
    <t>Ln17.18</t>
  </si>
  <si>
    <t>Ln14.19</t>
  </si>
  <si>
    <t>Ln19.20</t>
  </si>
  <si>
    <t>Ln19.21</t>
  </si>
  <si>
    <t>Ln20.22</t>
  </si>
  <si>
    <t>Ln20.23</t>
  </si>
  <si>
    <t>Ln23.24</t>
  </si>
  <si>
    <t>Ln22.25</t>
  </si>
  <si>
    <t>Ln23.26</t>
  </si>
  <si>
    <t>Ln24.27</t>
  </si>
  <si>
    <t>Ln15.28</t>
  </si>
  <si>
    <t>Ln27.29</t>
  </si>
  <si>
    <t>Ln27.30</t>
  </si>
  <si>
    <t>Ln17.31</t>
  </si>
  <si>
    <t>Ln28.32</t>
  </si>
  <si>
    <t>Ln22.33</t>
  </si>
  <si>
    <t>Ln31.34</t>
  </si>
  <si>
    <t>Ln32.35</t>
  </si>
  <si>
    <t>Ln18.36</t>
  </si>
  <si>
    <t>Ln16.37</t>
  </si>
  <si>
    <t>Ln35.38</t>
  </si>
  <si>
    <t>Ln31.39</t>
  </si>
  <si>
    <t>Ln36.40</t>
  </si>
  <si>
    <t>Ln38.41</t>
  </si>
  <si>
    <t>Ln36.42</t>
  </si>
  <si>
    <t>Ln41.43</t>
  </si>
  <si>
    <t>Ln38.44</t>
  </si>
  <si>
    <t>Ln41.45</t>
  </si>
  <si>
    <t>Ln32.46</t>
  </si>
  <si>
    <t>Ln44.47</t>
  </si>
  <si>
    <t>Ln35.48</t>
  </si>
  <si>
    <t>Ln28.49</t>
  </si>
  <si>
    <t>Ln44.50</t>
  </si>
  <si>
    <t>Ln48.51</t>
  </si>
  <si>
    <t>Ln43.52</t>
  </si>
  <si>
    <t>Ln43.53</t>
  </si>
  <si>
    <t>Ln48.54</t>
  </si>
  <si>
    <t>Ln53.55</t>
  </si>
  <si>
    <t>Ln55.56</t>
  </si>
  <si>
    <t>Ln56.57</t>
  </si>
  <si>
    <t>Ln51.58</t>
  </si>
  <si>
    <t>Ln55.59</t>
  </si>
  <si>
    <t>Ln58.60</t>
  </si>
  <si>
    <t>Ln51.61</t>
  </si>
  <si>
    <t>Ln61.62</t>
  </si>
  <si>
    <t>Ln59.63</t>
  </si>
  <si>
    <t>Ln61.64</t>
  </si>
  <si>
    <t>Ln59.65</t>
  </si>
  <si>
    <t>Ln63.66</t>
  </si>
  <si>
    <t>Ln56.67</t>
  </si>
  <si>
    <t>Ln58.68</t>
  </si>
  <si>
    <t>Ln65.69</t>
  </si>
  <si>
    <t>Ln69.70</t>
  </si>
  <si>
    <t>Ln68.71</t>
  </si>
  <si>
    <t>Ln63.72</t>
  </si>
  <si>
    <t>Ln71.73</t>
  </si>
  <si>
    <t>Ln71.74</t>
  </si>
  <si>
    <t>Ln69.75</t>
  </si>
  <si>
    <t>Ln53.76</t>
  </si>
  <si>
    <t>Ln70.77</t>
  </si>
  <si>
    <t>Ln65.78</t>
  </si>
  <si>
    <t>Ln74.79</t>
  </si>
  <si>
    <t>Ln78.80</t>
  </si>
  <si>
    <t>Ln78.81</t>
  </si>
  <si>
    <t>Ln79.82</t>
  </si>
  <si>
    <t>Ln74.83</t>
  </si>
  <si>
    <t>Ln82.84</t>
  </si>
  <si>
    <t>Ln82.85</t>
  </si>
  <si>
    <t>Ln85.86</t>
  </si>
  <si>
    <t>Ln84.87</t>
  </si>
  <si>
    <t>Ln85.88</t>
  </si>
  <si>
    <t>Ln86.89</t>
  </si>
  <si>
    <t>Ln89.90</t>
  </si>
  <si>
    <t>Ln90.91</t>
  </si>
  <si>
    <t>Ln90.92</t>
  </si>
  <si>
    <t>Ln91.93</t>
  </si>
  <si>
    <t>Ln92.94</t>
  </si>
  <si>
    <t>Ln84.95</t>
  </si>
  <si>
    <t>Ln94.96</t>
  </si>
  <si>
    <t>Ln68.97</t>
  </si>
  <si>
    <t>Ln79.98</t>
  </si>
  <si>
    <t>Ln92.99</t>
  </si>
  <si>
    <t>Ln99.100</t>
  </si>
  <si>
    <t>Ln100.101</t>
  </si>
  <si>
    <t>Ln91.102</t>
  </si>
  <si>
    <t>Ln98.103</t>
  </si>
  <si>
    <t>Ln94.104</t>
  </si>
  <si>
    <t>Ln98.105</t>
  </si>
  <si>
    <t>Ln105.106</t>
  </si>
  <si>
    <t>Ln105.107</t>
  </si>
  <si>
    <t>Ln101.108</t>
  </si>
  <si>
    <t>Ln99.109</t>
  </si>
  <si>
    <t>Ln108.110</t>
  </si>
  <si>
    <t>Ln89.111</t>
  </si>
  <si>
    <t>Ln111.112</t>
  </si>
  <si>
    <t>Ln109.113</t>
  </si>
  <si>
    <t>Ln108.114</t>
  </si>
  <si>
    <t>Ln111.115</t>
  </si>
  <si>
    <t>Ln109.116</t>
  </si>
  <si>
    <t>Nominał Current [kA]</t>
  </si>
  <si>
    <t>c:curnom</t>
  </si>
  <si>
    <t>Phase Currenț Angle A Terminal i [Terminal i in deg]</t>
  </si>
  <si>
    <t>Phase Currenț Angle B Terminal i [Terminal i in deg]</t>
  </si>
  <si>
    <t>Phase Currenț Angle C Terminal i [Terminal i in deg]</t>
  </si>
  <si>
    <t>m:phii:bus1:A</t>
  </si>
  <si>
    <t>m:phii:bus1:B</t>
  </si>
  <si>
    <t>m:phii:bus1:C</t>
  </si>
  <si>
    <t>Line-Ground Voltage, Magnitude A [kV)</t>
  </si>
  <si>
    <t>m:U:A</t>
  </si>
  <si>
    <t>Line-Ground Voltage, Magnitude B [kV)</t>
  </si>
  <si>
    <t>m:U:B</t>
  </si>
  <si>
    <t>Line-Ground Voltage, Magnitude C [kV)</t>
  </si>
  <si>
    <t>m:U:C</t>
  </si>
  <si>
    <t>Line-Ground Voltage, Magnitude A [p.u.]</t>
  </si>
  <si>
    <t>m:u:A</t>
  </si>
  <si>
    <t>m:u:B</t>
  </si>
  <si>
    <t>m:u:C</t>
  </si>
  <si>
    <t>Line-Ground Voltage, Magnitude B [p.u.]</t>
  </si>
  <si>
    <t>Line-Ground Voltage, Angle A [deg]</t>
  </si>
  <si>
    <t>Line-Ground Voltage, Angle B [deg]</t>
  </si>
  <si>
    <t>Line-Ground Voltage, Angle C [deg]</t>
  </si>
  <si>
    <t>m:phiu:A</t>
  </si>
  <si>
    <t>m:phiu:B</t>
  </si>
  <si>
    <t>m:phiu:C</t>
  </si>
  <si>
    <t>plinir</t>
  </si>
  <si>
    <t>Atribute</t>
  </si>
  <si>
    <t>plinis</t>
  </si>
  <si>
    <t>plinit</t>
  </si>
  <si>
    <t>qlinir</t>
  </si>
  <si>
    <t>qlinis</t>
  </si>
  <si>
    <t>qlinit</t>
  </si>
  <si>
    <t>Active Power A [kW]</t>
  </si>
  <si>
    <t>m:P:bus1:A</t>
  </si>
  <si>
    <t>Active Power B [kW]</t>
  </si>
  <si>
    <t>Active Power C [kW]</t>
  </si>
  <si>
    <t>m:P:bus1:B</t>
  </si>
  <si>
    <t>m:P:bus1:C</t>
  </si>
  <si>
    <t>Reactive Power A [kW]</t>
  </si>
  <si>
    <t>Reactive Power B [kW]</t>
  </si>
  <si>
    <t>Reactive Power C [kW]</t>
  </si>
  <si>
    <t>m:Q:bus1:A</t>
  </si>
  <si>
    <t>m:Q:bus1:B</t>
  </si>
  <si>
    <t>m:Q:bus1:C</t>
  </si>
  <si>
    <t>Termninal</t>
  </si>
  <si>
    <t>m:Psum:bus1</t>
  </si>
  <si>
    <t>Active Power [kW]</t>
  </si>
  <si>
    <t>m:Qsum:bus1</t>
  </si>
  <si>
    <t>Reactive Power [kW]</t>
  </si>
  <si>
    <t>sgn</t>
  </si>
  <si>
    <t>Rated apparent power KVA</t>
  </si>
  <si>
    <t>Strat</t>
  </si>
  <si>
    <t>Type</t>
  </si>
  <si>
    <t>ElmTerm</t>
  </si>
  <si>
    <t>ElmLne</t>
  </si>
  <si>
    <t>ElmLod</t>
  </si>
  <si>
    <t>2</t>
  </si>
  <si>
    <t>Terminal</t>
  </si>
  <si>
    <t>S_rated</t>
  </si>
  <si>
    <t>phase</t>
  </si>
  <si>
    <t>sgnn</t>
  </si>
  <si>
    <t>F1</t>
  </si>
  <si>
    <t>F2</t>
  </si>
  <si>
    <t>F3</t>
  </si>
  <si>
    <t>role</t>
  </si>
  <si>
    <t>transformer_storage</t>
  </si>
  <si>
    <t>critical_node_storage</t>
  </si>
  <si>
    <t>parameter</t>
  </si>
  <si>
    <t>value</t>
  </si>
  <si>
    <t>CASE_TO_RUN</t>
  </si>
  <si>
    <t>all</t>
  </si>
  <si>
    <t>pso_global</t>
  </si>
  <si>
    <t>local_qu_storage_tr</t>
  </si>
  <si>
    <t>base_no_control</t>
  </si>
  <si>
    <t>local_qu_storage_end</t>
  </si>
  <si>
    <t>Case</t>
  </si>
  <si>
    <t>VOLTAGE_MIN_PU</t>
  </si>
  <si>
    <t>VOLTAGE_MAX_PU</t>
  </si>
  <si>
    <t>LOADING_MAX_PERCENT</t>
  </si>
  <si>
    <t>P_STORAGE_TOTAL_MAX_KW</t>
  </si>
  <si>
    <t>P_STORAGE_PHASE_MAX_KW</t>
  </si>
  <si>
    <t>ALLOW_STORAGE_CHARGE</t>
  </si>
  <si>
    <t>ALLOW_STORAGE_DISCHARGE</t>
  </si>
  <si>
    <t>KEEP_INITIAL_STORAGE_Q</t>
  </si>
  <si>
    <t>TRUE/FALSE</t>
  </si>
  <si>
    <t>PSO_N_PARTICLES</t>
  </si>
  <si>
    <t>PSO_N_ITER</t>
  </si>
  <si>
    <t>PSO_W</t>
  </si>
  <si>
    <t>PSO_C1</t>
  </si>
  <si>
    <t>PSO_C2</t>
  </si>
  <si>
    <t>PSO_RANDOM_SEED</t>
  </si>
  <si>
    <t>step_id</t>
  </si>
  <si>
    <t>percent</t>
  </si>
  <si>
    <t>p_rel</t>
  </si>
  <si>
    <t>label</t>
  </si>
  <si>
    <t>full_discharge</t>
  </si>
  <si>
    <t>full_charge</t>
  </si>
  <si>
    <t>IDLE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</si>
</sst>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charset val="238"/>
      <scheme val="minor"/>
    </font>
    <font>
      <b/>
      <sz val="11"/>
      <color theme="1"/>
      <name val="Aptos Narrow"/>
      <family val="2"/>
      <charset val="238"/>
      <scheme val="minor"/>
    </font>
    <font>
      <sz val="8"/>
      <name val="Aptos Narrow"/>
      <family val="2"/>
      <charset val="238"/>
      <scheme val="minor"/>
    </font>
    <font>
      <sz val="10"/>
      <color theme="1"/>
      <name val="Consolas"/>
      <family val="3"/>
      <charset val="238"/>
    </font>
    <font>
      <sz val="12"/>
      <color rgb="FF1F2328"/>
      <name val="Segoe UI"/>
      <family val="2"/>
      <charset val="238"/>
    </font>
    <font>
      <sz val="11"/>
      <color theme="1"/>
      <name val="Aptos Narrow"/>
      <family val="2"/>
      <scheme val="minor"/>
    </font>
    <font>
      <sz val="10"/>
      <color rgb="FF1F2328"/>
      <name val="Consolas"/>
      <family val="3"/>
      <charset val="238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 style="medium">
        <color rgb="FFD1D9E0"/>
      </left>
      <right style="medium">
        <color rgb="FFD1D9E0"/>
      </right>
      <top style="medium">
        <color rgb="FFD1D9E0"/>
      </top>
      <bottom style="medium">
        <color rgb="FFD1D9E0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horizontal="center" vertical="center" wrapText="1"/>
    </xf>
    <xf numFmtId="49" fontId="1" fillId="0" borderId="0" xfId="0" applyNumberFormat="1" applyFont="1" applyAlignment="1">
      <alignment horizontal="center" vertical="center" wrapText="1"/>
    </xf>
    <xf numFmtId="49" fontId="0" fillId="0" borderId="0" xfId="0" applyNumberFormat="1"/>
    <xf numFmtId="0" fontId="3" fillId="0" borderId="0" xfId="0" applyFont="1" applyAlignment="1">
      <alignment horizontal="left" vertical="center" indent="3"/>
    </xf>
    <xf numFmtId="2" fontId="0" fillId="0" borderId="0" xfId="0" applyNumberFormat="1"/>
    <xf numFmtId="1" fontId="0" fillId="0" borderId="0" xfId="0" applyNumberFormat="1"/>
    <xf numFmtId="0" fontId="4" fillId="2" borderId="1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6" fillId="0" borderId="0" xfId="0" applyFont="1"/>
    <xf numFmtId="0" fontId="6" fillId="0" borderId="0" xfId="0" applyFont="1" applyAlignment="1">
      <alignment horizontal="left" vertical="center" wrapText="1" indent="1"/>
    </xf>
    <xf numFmtId="0" fontId="1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/>
    </xf>
    <xf numFmtId="0" fontId="0" fillId="0" borderId="0" xfId="0" applyNumberFormat="1"/>
  </cellXfs>
  <cellStyles count="1"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CE23EB-6D98-4DF8-8296-1B5EA77107AD}">
  <dimension ref="A1:F16"/>
  <sheetViews>
    <sheetView tabSelected="1" workbookViewId="0">
      <selection activeCell="B8" sqref="B8"/>
    </sheetView>
  </sheetViews>
  <sheetFormatPr defaultRowHeight="15" x14ac:dyDescent="0.25"/>
  <cols>
    <col min="1" max="1" width="29" customWidth="1"/>
    <col min="2" max="2" width="18.28515625" customWidth="1"/>
    <col min="5" max="5" width="9.42578125" bestFit="1" customWidth="1"/>
  </cols>
  <sheetData>
    <row r="1" spans="1:6" x14ac:dyDescent="0.25">
      <c r="A1" s="9" t="s">
        <v>573</v>
      </c>
      <c r="B1" s="9" t="s">
        <v>574</v>
      </c>
      <c r="E1" t="s">
        <v>590</v>
      </c>
      <c r="F1" t="s">
        <v>581</v>
      </c>
    </row>
    <row r="2" spans="1:6" x14ac:dyDescent="0.25">
      <c r="A2" t="s">
        <v>575</v>
      </c>
      <c r="B2" t="s">
        <v>579</v>
      </c>
      <c r="E2" t="b">
        <f>TRUE</f>
        <v>1</v>
      </c>
      <c r="F2" t="s">
        <v>576</v>
      </c>
    </row>
    <row r="3" spans="1:6" x14ac:dyDescent="0.25">
      <c r="A3" t="s">
        <v>582</v>
      </c>
      <c r="B3">
        <v>0.9</v>
      </c>
      <c r="E3" t="b">
        <f>FALSE</f>
        <v>0</v>
      </c>
      <c r="F3" t="s">
        <v>579</v>
      </c>
    </row>
    <row r="4" spans="1:6" x14ac:dyDescent="0.25">
      <c r="A4" t="s">
        <v>583</v>
      </c>
      <c r="B4">
        <v>1.1000000000000001</v>
      </c>
      <c r="F4" t="s">
        <v>577</v>
      </c>
    </row>
    <row r="5" spans="1:6" x14ac:dyDescent="0.25">
      <c r="A5" t="s">
        <v>584</v>
      </c>
      <c r="B5">
        <v>100</v>
      </c>
      <c r="F5" t="s">
        <v>578</v>
      </c>
    </row>
    <row r="6" spans="1:6" x14ac:dyDescent="0.25">
      <c r="A6" t="s">
        <v>585</v>
      </c>
      <c r="B6">
        <v>90</v>
      </c>
      <c r="F6" t="s">
        <v>580</v>
      </c>
    </row>
    <row r="7" spans="1:6" x14ac:dyDescent="0.25">
      <c r="A7" t="s">
        <v>586</v>
      </c>
      <c r="B7">
        <v>30</v>
      </c>
    </row>
    <row r="8" spans="1:6" x14ac:dyDescent="0.25">
      <c r="A8" t="s">
        <v>587</v>
      </c>
      <c r="B8" t="b">
        <v>1</v>
      </c>
    </row>
    <row r="9" spans="1:6" x14ac:dyDescent="0.25">
      <c r="A9" t="s">
        <v>588</v>
      </c>
      <c r="B9" t="b">
        <v>1</v>
      </c>
    </row>
    <row r="10" spans="1:6" x14ac:dyDescent="0.25">
      <c r="A10" t="s">
        <v>589</v>
      </c>
      <c r="B10" t="b">
        <v>1</v>
      </c>
    </row>
    <row r="11" spans="1:6" x14ac:dyDescent="0.25">
      <c r="A11" t="s">
        <v>591</v>
      </c>
      <c r="B11">
        <v>3</v>
      </c>
    </row>
    <row r="12" spans="1:6" x14ac:dyDescent="0.25">
      <c r="A12" t="s">
        <v>592</v>
      </c>
      <c r="B12">
        <v>3</v>
      </c>
    </row>
    <row r="13" spans="1:6" x14ac:dyDescent="0.25">
      <c r="A13" t="s">
        <v>593</v>
      </c>
      <c r="B13">
        <v>0.7</v>
      </c>
    </row>
    <row r="14" spans="1:6" x14ac:dyDescent="0.25">
      <c r="A14" t="s">
        <v>594</v>
      </c>
      <c r="B14">
        <v>1.5</v>
      </c>
    </row>
    <row r="15" spans="1:6" x14ac:dyDescent="0.25">
      <c r="A15" t="s">
        <v>595</v>
      </c>
      <c r="B15">
        <v>1.5</v>
      </c>
    </row>
    <row r="16" spans="1:6" x14ac:dyDescent="0.25">
      <c r="A16" t="s">
        <v>596</v>
      </c>
      <c r="B16">
        <v>42</v>
      </c>
    </row>
  </sheetData>
  <dataValidations count="2">
    <dataValidation type="list" allowBlank="1" showInputMessage="1" showErrorMessage="1" sqref="B2" xr:uid="{30E5F453-74BB-4DF0-8C87-7C6CA9EB7390}">
      <formula1>$F$2:$F$6</formula1>
    </dataValidation>
    <dataValidation type="list" allowBlank="1" showInputMessage="1" showErrorMessage="1" sqref="B8:B10" xr:uid="{8F43317D-452E-44C9-9408-5208BC337423}">
      <formula1>$E$2:$E$3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D968F8-FAC8-4FAB-A86A-0FB06D9ECC93}">
  <dimension ref="A1:D22"/>
  <sheetViews>
    <sheetView workbookViewId="0">
      <selection activeCell="D12" sqref="D12"/>
    </sheetView>
  </sheetViews>
  <sheetFormatPr defaultRowHeight="15" x14ac:dyDescent="0.25"/>
  <cols>
    <col min="4" max="4" width="13.5703125" customWidth="1"/>
  </cols>
  <sheetData>
    <row r="1" spans="1:4" x14ac:dyDescent="0.25">
      <c r="A1" t="s">
        <v>597</v>
      </c>
      <c r="B1" t="s">
        <v>598</v>
      </c>
      <c r="C1" t="s">
        <v>599</v>
      </c>
      <c r="D1" t="s">
        <v>600</v>
      </c>
    </row>
    <row r="2" spans="1:4" x14ac:dyDescent="0.25">
      <c r="A2">
        <v>-10</v>
      </c>
      <c r="B2">
        <v>-100</v>
      </c>
      <c r="C2">
        <v>-1</v>
      </c>
      <c r="D2" t="s">
        <v>601</v>
      </c>
    </row>
    <row r="3" spans="1:4" x14ac:dyDescent="0.25">
      <c r="A3">
        <v>-9</v>
      </c>
      <c r="B3">
        <v>-90</v>
      </c>
      <c r="C3">
        <v>-0.9</v>
      </c>
    </row>
    <row r="4" spans="1:4" x14ac:dyDescent="0.25">
      <c r="A4">
        <v>-8</v>
      </c>
      <c r="B4">
        <v>-80</v>
      </c>
      <c r="C4">
        <v>-0.8</v>
      </c>
    </row>
    <row r="5" spans="1:4" x14ac:dyDescent="0.25">
      <c r="A5">
        <v>-7</v>
      </c>
      <c r="B5">
        <v>-70</v>
      </c>
      <c r="C5">
        <v>-0.7</v>
      </c>
    </row>
    <row r="6" spans="1:4" x14ac:dyDescent="0.25">
      <c r="A6">
        <v>-6</v>
      </c>
      <c r="B6">
        <v>-60</v>
      </c>
      <c r="C6">
        <v>-0.6</v>
      </c>
    </row>
    <row r="7" spans="1:4" x14ac:dyDescent="0.25">
      <c r="A7">
        <v>-5</v>
      </c>
      <c r="B7">
        <v>-50</v>
      </c>
      <c r="C7">
        <v>-0.5</v>
      </c>
    </row>
    <row r="8" spans="1:4" x14ac:dyDescent="0.25">
      <c r="A8">
        <v>-4</v>
      </c>
      <c r="B8">
        <v>-40</v>
      </c>
      <c r="C8">
        <v>-0.4</v>
      </c>
    </row>
    <row r="9" spans="1:4" x14ac:dyDescent="0.25">
      <c r="A9">
        <v>-3</v>
      </c>
      <c r="B9">
        <v>-30</v>
      </c>
      <c r="C9">
        <v>-0.3</v>
      </c>
    </row>
    <row r="10" spans="1:4" x14ac:dyDescent="0.25">
      <c r="A10">
        <v>-2</v>
      </c>
      <c r="B10">
        <v>-20</v>
      </c>
      <c r="C10">
        <v>-0.2</v>
      </c>
    </row>
    <row r="11" spans="1:4" x14ac:dyDescent="0.25">
      <c r="A11">
        <v>-1</v>
      </c>
      <c r="B11">
        <v>-10</v>
      </c>
      <c r="C11">
        <v>-0.1</v>
      </c>
    </row>
    <row r="12" spans="1:4" x14ac:dyDescent="0.25">
      <c r="A12">
        <v>0</v>
      </c>
      <c r="B12">
        <v>0</v>
      </c>
      <c r="C12">
        <v>0</v>
      </c>
      <c r="D12" t="s">
        <v>603</v>
      </c>
    </row>
    <row r="13" spans="1:4" x14ac:dyDescent="0.25">
      <c r="A13">
        <v>1</v>
      </c>
      <c r="B13">
        <v>10</v>
      </c>
      <c r="C13">
        <v>0.1</v>
      </c>
    </row>
    <row r="14" spans="1:4" x14ac:dyDescent="0.25">
      <c r="A14">
        <v>2</v>
      </c>
      <c r="B14">
        <v>20</v>
      </c>
      <c r="C14">
        <v>0.2</v>
      </c>
    </row>
    <row r="15" spans="1:4" x14ac:dyDescent="0.25">
      <c r="A15">
        <v>3</v>
      </c>
      <c r="B15">
        <v>30</v>
      </c>
      <c r="C15">
        <v>0.3</v>
      </c>
    </row>
    <row r="16" spans="1:4" x14ac:dyDescent="0.25">
      <c r="A16">
        <v>4</v>
      </c>
      <c r="B16">
        <v>40</v>
      </c>
      <c r="C16">
        <v>0.4</v>
      </c>
    </row>
    <row r="17" spans="1:4" x14ac:dyDescent="0.25">
      <c r="A17">
        <v>5</v>
      </c>
      <c r="B17">
        <v>50</v>
      </c>
      <c r="C17">
        <v>0.5</v>
      </c>
    </row>
    <row r="18" spans="1:4" x14ac:dyDescent="0.25">
      <c r="A18">
        <v>6</v>
      </c>
      <c r="B18">
        <v>60</v>
      </c>
      <c r="C18">
        <v>0.6</v>
      </c>
    </row>
    <row r="19" spans="1:4" x14ac:dyDescent="0.25">
      <c r="A19">
        <v>7</v>
      </c>
      <c r="B19">
        <v>70</v>
      </c>
      <c r="C19">
        <v>0.7</v>
      </c>
    </row>
    <row r="20" spans="1:4" x14ac:dyDescent="0.25">
      <c r="A20">
        <v>8</v>
      </c>
      <c r="B20">
        <v>80</v>
      </c>
      <c r="C20">
        <v>0.8</v>
      </c>
    </row>
    <row r="21" spans="1:4" x14ac:dyDescent="0.25">
      <c r="A21">
        <v>9</v>
      </c>
      <c r="B21">
        <v>90</v>
      </c>
      <c r="C21">
        <v>0.9</v>
      </c>
    </row>
    <row r="22" spans="1:4" x14ac:dyDescent="0.25">
      <c r="A22">
        <v>10</v>
      </c>
      <c r="B22">
        <v>100</v>
      </c>
      <c r="C22">
        <v>1</v>
      </c>
      <c r="D22" t="s">
        <v>602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2284C6-5D23-4B22-8B5B-59795679DCBB}">
  <dimension ref="A1:F118"/>
  <sheetViews>
    <sheetView topLeftCell="A67" workbookViewId="0">
      <selection activeCell="C3" sqref="C3"/>
    </sheetView>
  </sheetViews>
  <sheetFormatPr defaultRowHeight="15" x14ac:dyDescent="0.25"/>
  <cols>
    <col min="3" max="3" width="21.5703125" customWidth="1"/>
  </cols>
  <sheetData>
    <row r="1" spans="1:6" x14ac:dyDescent="0.25">
      <c r="A1" t="s">
        <v>376</v>
      </c>
      <c r="B1" t="s">
        <v>377</v>
      </c>
      <c r="E1" t="s">
        <v>385</v>
      </c>
      <c r="F1" t="s">
        <v>384</v>
      </c>
    </row>
    <row r="2" spans="1:6" x14ac:dyDescent="0.25">
      <c r="A2">
        <v>0</v>
      </c>
      <c r="B2">
        <v>15</v>
      </c>
      <c r="C2" t="s">
        <v>378</v>
      </c>
      <c r="E2" t="s">
        <v>558</v>
      </c>
      <c r="F2" t="s">
        <v>559</v>
      </c>
    </row>
    <row r="3" spans="1:6" x14ac:dyDescent="0.25">
      <c r="A3">
        <v>1</v>
      </c>
      <c r="B3">
        <v>0.4</v>
      </c>
      <c r="C3" t="s">
        <v>379</v>
      </c>
      <c r="E3" t="s">
        <v>514</v>
      </c>
      <c r="F3" t="s">
        <v>515</v>
      </c>
    </row>
    <row r="4" spans="1:6" x14ac:dyDescent="0.25">
      <c r="A4">
        <v>10</v>
      </c>
      <c r="B4">
        <v>0.4</v>
      </c>
      <c r="E4" t="s">
        <v>516</v>
      </c>
      <c r="F4" t="s">
        <v>517</v>
      </c>
    </row>
    <row r="5" spans="1:6" x14ac:dyDescent="0.25">
      <c r="A5">
        <v>100</v>
      </c>
      <c r="B5">
        <v>0.4</v>
      </c>
      <c r="E5" t="s">
        <v>518</v>
      </c>
      <c r="F5" t="s">
        <v>519</v>
      </c>
    </row>
    <row r="6" spans="1:6" x14ac:dyDescent="0.25">
      <c r="A6">
        <v>101</v>
      </c>
      <c r="B6">
        <v>0.4</v>
      </c>
      <c r="E6" t="s">
        <v>520</v>
      </c>
      <c r="F6" t="s">
        <v>521</v>
      </c>
    </row>
    <row r="7" spans="1:6" x14ac:dyDescent="0.25">
      <c r="A7">
        <v>102</v>
      </c>
      <c r="B7">
        <v>0.4</v>
      </c>
      <c r="E7" t="s">
        <v>524</v>
      </c>
      <c r="F7" t="s">
        <v>522</v>
      </c>
    </row>
    <row r="8" spans="1:6" x14ac:dyDescent="0.25">
      <c r="A8">
        <v>103</v>
      </c>
      <c r="B8">
        <v>0.4</v>
      </c>
      <c r="E8" t="s">
        <v>524</v>
      </c>
      <c r="F8" t="s">
        <v>523</v>
      </c>
    </row>
    <row r="9" spans="1:6" x14ac:dyDescent="0.25">
      <c r="A9">
        <v>104</v>
      </c>
      <c r="B9">
        <v>0.4</v>
      </c>
      <c r="E9" t="s">
        <v>525</v>
      </c>
      <c r="F9" t="s">
        <v>528</v>
      </c>
    </row>
    <row r="10" spans="1:6" x14ac:dyDescent="0.25">
      <c r="A10">
        <v>105</v>
      </c>
      <c r="B10">
        <v>0.4</v>
      </c>
      <c r="E10" t="s">
        <v>526</v>
      </c>
      <c r="F10" t="s">
        <v>529</v>
      </c>
    </row>
    <row r="11" spans="1:6" x14ac:dyDescent="0.25">
      <c r="A11">
        <v>106</v>
      </c>
      <c r="B11">
        <v>0.4</v>
      </c>
      <c r="E11" t="s">
        <v>527</v>
      </c>
      <c r="F11" t="s">
        <v>530</v>
      </c>
    </row>
    <row r="12" spans="1:6" x14ac:dyDescent="0.25">
      <c r="A12">
        <v>107</v>
      </c>
      <c r="B12">
        <v>0.4</v>
      </c>
    </row>
    <row r="13" spans="1:6" x14ac:dyDescent="0.25">
      <c r="A13">
        <v>108</v>
      </c>
      <c r="B13">
        <v>0.4</v>
      </c>
    </row>
    <row r="14" spans="1:6" x14ac:dyDescent="0.25">
      <c r="A14">
        <v>109</v>
      </c>
      <c r="B14">
        <v>0.4</v>
      </c>
    </row>
    <row r="15" spans="1:6" x14ac:dyDescent="0.25">
      <c r="A15">
        <v>11</v>
      </c>
      <c r="B15">
        <v>0.4</v>
      </c>
    </row>
    <row r="16" spans="1:6" x14ac:dyDescent="0.25">
      <c r="A16">
        <v>110</v>
      </c>
      <c r="B16">
        <v>0.4</v>
      </c>
    </row>
    <row r="17" spans="1:2" x14ac:dyDescent="0.25">
      <c r="A17">
        <v>111</v>
      </c>
      <c r="B17">
        <v>0.4</v>
      </c>
    </row>
    <row r="18" spans="1:2" x14ac:dyDescent="0.25">
      <c r="A18">
        <v>112</v>
      </c>
      <c r="B18">
        <v>0.4</v>
      </c>
    </row>
    <row r="19" spans="1:2" x14ac:dyDescent="0.25">
      <c r="A19">
        <v>113</v>
      </c>
      <c r="B19">
        <v>0.4</v>
      </c>
    </row>
    <row r="20" spans="1:2" x14ac:dyDescent="0.25">
      <c r="A20">
        <v>114</v>
      </c>
      <c r="B20">
        <v>0.4</v>
      </c>
    </row>
    <row r="21" spans="1:2" x14ac:dyDescent="0.25">
      <c r="A21">
        <v>115</v>
      </c>
      <c r="B21">
        <v>0.4</v>
      </c>
    </row>
    <row r="22" spans="1:2" x14ac:dyDescent="0.25">
      <c r="A22">
        <v>116</v>
      </c>
      <c r="B22">
        <v>0.4</v>
      </c>
    </row>
    <row r="23" spans="1:2" x14ac:dyDescent="0.25">
      <c r="A23">
        <v>12</v>
      </c>
      <c r="B23">
        <v>0.4</v>
      </c>
    </row>
    <row r="24" spans="1:2" x14ac:dyDescent="0.25">
      <c r="A24">
        <v>13</v>
      </c>
      <c r="B24">
        <v>0.4</v>
      </c>
    </row>
    <row r="25" spans="1:2" x14ac:dyDescent="0.25">
      <c r="A25">
        <v>14</v>
      </c>
      <c r="B25">
        <v>0.4</v>
      </c>
    </row>
    <row r="26" spans="1:2" x14ac:dyDescent="0.25">
      <c r="A26">
        <v>15</v>
      </c>
      <c r="B26">
        <v>0.4</v>
      </c>
    </row>
    <row r="27" spans="1:2" x14ac:dyDescent="0.25">
      <c r="A27">
        <v>16</v>
      </c>
      <c r="B27">
        <v>0.4</v>
      </c>
    </row>
    <row r="28" spans="1:2" x14ac:dyDescent="0.25">
      <c r="A28">
        <v>17</v>
      </c>
      <c r="B28">
        <v>0.4</v>
      </c>
    </row>
    <row r="29" spans="1:2" x14ac:dyDescent="0.25">
      <c r="A29">
        <v>18</v>
      </c>
      <c r="B29">
        <v>0.4</v>
      </c>
    </row>
    <row r="30" spans="1:2" x14ac:dyDescent="0.25">
      <c r="A30">
        <v>19</v>
      </c>
      <c r="B30">
        <v>0.4</v>
      </c>
    </row>
    <row r="31" spans="1:2" x14ac:dyDescent="0.25">
      <c r="A31">
        <v>2</v>
      </c>
      <c r="B31">
        <v>0.4</v>
      </c>
    </row>
    <row r="32" spans="1:2" x14ac:dyDescent="0.25">
      <c r="A32">
        <v>20</v>
      </c>
      <c r="B32">
        <v>0.4</v>
      </c>
    </row>
    <row r="33" spans="1:2" x14ac:dyDescent="0.25">
      <c r="A33">
        <v>21</v>
      </c>
      <c r="B33">
        <v>0.4</v>
      </c>
    </row>
    <row r="34" spans="1:2" x14ac:dyDescent="0.25">
      <c r="A34">
        <v>22</v>
      </c>
      <c r="B34">
        <v>0.4</v>
      </c>
    </row>
    <row r="35" spans="1:2" x14ac:dyDescent="0.25">
      <c r="A35">
        <v>23</v>
      </c>
      <c r="B35">
        <v>0.4</v>
      </c>
    </row>
    <row r="36" spans="1:2" x14ac:dyDescent="0.25">
      <c r="A36">
        <v>24</v>
      </c>
      <c r="B36">
        <v>0.4</v>
      </c>
    </row>
    <row r="37" spans="1:2" x14ac:dyDescent="0.25">
      <c r="A37">
        <v>25</v>
      </c>
      <c r="B37">
        <v>0.4</v>
      </c>
    </row>
    <row r="38" spans="1:2" x14ac:dyDescent="0.25">
      <c r="A38">
        <v>26</v>
      </c>
      <c r="B38">
        <v>0.4</v>
      </c>
    </row>
    <row r="39" spans="1:2" x14ac:dyDescent="0.25">
      <c r="A39">
        <v>27</v>
      </c>
      <c r="B39">
        <v>0.4</v>
      </c>
    </row>
    <row r="40" spans="1:2" x14ac:dyDescent="0.25">
      <c r="A40">
        <v>28</v>
      </c>
      <c r="B40">
        <v>0.4</v>
      </c>
    </row>
    <row r="41" spans="1:2" x14ac:dyDescent="0.25">
      <c r="A41">
        <v>29</v>
      </c>
      <c r="B41">
        <v>0.4</v>
      </c>
    </row>
    <row r="42" spans="1:2" x14ac:dyDescent="0.25">
      <c r="A42">
        <v>3</v>
      </c>
      <c r="B42">
        <v>0.4</v>
      </c>
    </row>
    <row r="43" spans="1:2" x14ac:dyDescent="0.25">
      <c r="A43">
        <v>30</v>
      </c>
      <c r="B43">
        <v>0.4</v>
      </c>
    </row>
    <row r="44" spans="1:2" x14ac:dyDescent="0.25">
      <c r="A44">
        <v>31</v>
      </c>
      <c r="B44">
        <v>0.4</v>
      </c>
    </row>
    <row r="45" spans="1:2" x14ac:dyDescent="0.25">
      <c r="A45">
        <v>32</v>
      </c>
      <c r="B45">
        <v>0.4</v>
      </c>
    </row>
    <row r="46" spans="1:2" x14ac:dyDescent="0.25">
      <c r="A46">
        <v>33</v>
      </c>
      <c r="B46">
        <v>0.4</v>
      </c>
    </row>
    <row r="47" spans="1:2" x14ac:dyDescent="0.25">
      <c r="A47">
        <v>34</v>
      </c>
      <c r="B47">
        <v>0.4</v>
      </c>
    </row>
    <row r="48" spans="1:2" x14ac:dyDescent="0.25">
      <c r="A48">
        <v>35</v>
      </c>
      <c r="B48">
        <v>0.4</v>
      </c>
    </row>
    <row r="49" spans="1:2" x14ac:dyDescent="0.25">
      <c r="A49">
        <v>36</v>
      </c>
      <c r="B49">
        <v>0.4</v>
      </c>
    </row>
    <row r="50" spans="1:2" x14ac:dyDescent="0.25">
      <c r="A50">
        <v>37</v>
      </c>
      <c r="B50">
        <v>0.4</v>
      </c>
    </row>
    <row r="51" spans="1:2" x14ac:dyDescent="0.25">
      <c r="A51">
        <v>38</v>
      </c>
      <c r="B51">
        <v>0.4</v>
      </c>
    </row>
    <row r="52" spans="1:2" x14ac:dyDescent="0.25">
      <c r="A52">
        <v>39</v>
      </c>
      <c r="B52">
        <v>0.4</v>
      </c>
    </row>
    <row r="53" spans="1:2" x14ac:dyDescent="0.25">
      <c r="A53">
        <v>4</v>
      </c>
      <c r="B53">
        <v>0.4</v>
      </c>
    </row>
    <row r="54" spans="1:2" x14ac:dyDescent="0.25">
      <c r="A54">
        <v>40</v>
      </c>
      <c r="B54">
        <v>0.4</v>
      </c>
    </row>
    <row r="55" spans="1:2" x14ac:dyDescent="0.25">
      <c r="A55">
        <v>41</v>
      </c>
      <c r="B55">
        <v>0.4</v>
      </c>
    </row>
    <row r="56" spans="1:2" x14ac:dyDescent="0.25">
      <c r="A56">
        <v>42</v>
      </c>
      <c r="B56">
        <v>0.4</v>
      </c>
    </row>
    <row r="57" spans="1:2" x14ac:dyDescent="0.25">
      <c r="A57">
        <v>43</v>
      </c>
      <c r="B57">
        <v>0.4</v>
      </c>
    </row>
    <row r="58" spans="1:2" x14ac:dyDescent="0.25">
      <c r="A58">
        <v>44</v>
      </c>
      <c r="B58">
        <v>0.4</v>
      </c>
    </row>
    <row r="59" spans="1:2" x14ac:dyDescent="0.25">
      <c r="A59">
        <v>45</v>
      </c>
      <c r="B59">
        <v>0.4</v>
      </c>
    </row>
    <row r="60" spans="1:2" x14ac:dyDescent="0.25">
      <c r="A60">
        <v>46</v>
      </c>
      <c r="B60">
        <v>0.4</v>
      </c>
    </row>
    <row r="61" spans="1:2" x14ac:dyDescent="0.25">
      <c r="A61">
        <v>47</v>
      </c>
      <c r="B61">
        <v>0.4</v>
      </c>
    </row>
    <row r="62" spans="1:2" x14ac:dyDescent="0.25">
      <c r="A62">
        <v>48</v>
      </c>
      <c r="B62">
        <v>0.4</v>
      </c>
    </row>
    <row r="63" spans="1:2" x14ac:dyDescent="0.25">
      <c r="A63">
        <v>49</v>
      </c>
      <c r="B63">
        <v>0.4</v>
      </c>
    </row>
    <row r="64" spans="1:2" x14ac:dyDescent="0.25">
      <c r="A64">
        <v>5</v>
      </c>
      <c r="B64">
        <v>0.4</v>
      </c>
    </row>
    <row r="65" spans="1:2" x14ac:dyDescent="0.25">
      <c r="A65">
        <v>50</v>
      </c>
      <c r="B65">
        <v>0.4</v>
      </c>
    </row>
    <row r="66" spans="1:2" x14ac:dyDescent="0.25">
      <c r="A66">
        <v>51</v>
      </c>
      <c r="B66">
        <v>0.4</v>
      </c>
    </row>
    <row r="67" spans="1:2" x14ac:dyDescent="0.25">
      <c r="A67">
        <v>52</v>
      </c>
      <c r="B67">
        <v>0.4</v>
      </c>
    </row>
    <row r="68" spans="1:2" x14ac:dyDescent="0.25">
      <c r="A68">
        <v>53</v>
      </c>
      <c r="B68">
        <v>0.4</v>
      </c>
    </row>
    <row r="69" spans="1:2" x14ac:dyDescent="0.25">
      <c r="A69">
        <v>54</v>
      </c>
      <c r="B69">
        <v>0.4</v>
      </c>
    </row>
    <row r="70" spans="1:2" x14ac:dyDescent="0.25">
      <c r="A70">
        <v>55</v>
      </c>
      <c r="B70">
        <v>0.4</v>
      </c>
    </row>
    <row r="71" spans="1:2" x14ac:dyDescent="0.25">
      <c r="A71">
        <v>56</v>
      </c>
      <c r="B71">
        <v>0.4</v>
      </c>
    </row>
    <row r="72" spans="1:2" x14ac:dyDescent="0.25">
      <c r="A72">
        <v>57</v>
      </c>
      <c r="B72">
        <v>0.4</v>
      </c>
    </row>
    <row r="73" spans="1:2" x14ac:dyDescent="0.25">
      <c r="A73">
        <v>58</v>
      </c>
      <c r="B73">
        <v>0.4</v>
      </c>
    </row>
    <row r="74" spans="1:2" x14ac:dyDescent="0.25">
      <c r="A74">
        <v>59</v>
      </c>
      <c r="B74">
        <v>0.4</v>
      </c>
    </row>
    <row r="75" spans="1:2" x14ac:dyDescent="0.25">
      <c r="A75">
        <v>6</v>
      </c>
      <c r="B75">
        <v>0.4</v>
      </c>
    </row>
    <row r="76" spans="1:2" x14ac:dyDescent="0.25">
      <c r="A76">
        <v>60</v>
      </c>
      <c r="B76">
        <v>0.4</v>
      </c>
    </row>
    <row r="77" spans="1:2" x14ac:dyDescent="0.25">
      <c r="A77">
        <v>61</v>
      </c>
      <c r="B77">
        <v>0.4</v>
      </c>
    </row>
    <row r="78" spans="1:2" x14ac:dyDescent="0.25">
      <c r="A78">
        <v>62</v>
      </c>
      <c r="B78">
        <v>0.4</v>
      </c>
    </row>
    <row r="79" spans="1:2" x14ac:dyDescent="0.25">
      <c r="A79">
        <v>63</v>
      </c>
      <c r="B79">
        <v>0.4</v>
      </c>
    </row>
    <row r="80" spans="1:2" x14ac:dyDescent="0.25">
      <c r="A80">
        <v>64</v>
      </c>
      <c r="B80">
        <v>0.4</v>
      </c>
    </row>
    <row r="81" spans="1:3" x14ac:dyDescent="0.25">
      <c r="A81">
        <v>65</v>
      </c>
      <c r="B81">
        <v>0.4</v>
      </c>
    </row>
    <row r="82" spans="1:3" x14ac:dyDescent="0.25">
      <c r="A82">
        <v>66</v>
      </c>
      <c r="B82">
        <v>0.4</v>
      </c>
    </row>
    <row r="83" spans="1:3" x14ac:dyDescent="0.25">
      <c r="A83">
        <v>67</v>
      </c>
      <c r="B83">
        <v>0.4</v>
      </c>
    </row>
    <row r="84" spans="1:3" x14ac:dyDescent="0.25">
      <c r="A84">
        <v>68</v>
      </c>
      <c r="B84">
        <v>0.4</v>
      </c>
    </row>
    <row r="85" spans="1:3" x14ac:dyDescent="0.25">
      <c r="A85">
        <v>69</v>
      </c>
      <c r="B85">
        <v>0.4</v>
      </c>
    </row>
    <row r="86" spans="1:3" x14ac:dyDescent="0.25">
      <c r="A86">
        <v>7</v>
      </c>
      <c r="B86">
        <v>0.4</v>
      </c>
    </row>
    <row r="87" spans="1:3" x14ac:dyDescent="0.25">
      <c r="A87">
        <v>70</v>
      </c>
      <c r="B87">
        <v>0.4</v>
      </c>
    </row>
    <row r="88" spans="1:3" x14ac:dyDescent="0.25">
      <c r="A88">
        <v>71</v>
      </c>
      <c r="B88">
        <v>0.4</v>
      </c>
    </row>
    <row r="89" spans="1:3" x14ac:dyDescent="0.25">
      <c r="A89">
        <v>72</v>
      </c>
      <c r="B89">
        <v>0.4</v>
      </c>
    </row>
    <row r="90" spans="1:3" x14ac:dyDescent="0.25">
      <c r="A90">
        <v>73</v>
      </c>
      <c r="B90">
        <v>0.4</v>
      </c>
    </row>
    <row r="91" spans="1:3" x14ac:dyDescent="0.25">
      <c r="A91">
        <v>74</v>
      </c>
      <c r="B91">
        <v>0.4</v>
      </c>
    </row>
    <row r="92" spans="1:3" x14ac:dyDescent="0.25">
      <c r="A92">
        <v>75</v>
      </c>
      <c r="B92">
        <v>0.4</v>
      </c>
    </row>
    <row r="93" spans="1:3" x14ac:dyDescent="0.25">
      <c r="A93">
        <v>76</v>
      </c>
      <c r="B93">
        <v>0.4</v>
      </c>
    </row>
    <row r="94" spans="1:3" x14ac:dyDescent="0.25">
      <c r="A94">
        <v>77</v>
      </c>
      <c r="B94">
        <v>0.4</v>
      </c>
      <c r="C94" t="s">
        <v>390</v>
      </c>
    </row>
    <row r="95" spans="1:3" x14ac:dyDescent="0.25">
      <c r="A95">
        <v>78</v>
      </c>
      <c r="B95">
        <v>0.4</v>
      </c>
    </row>
    <row r="96" spans="1:3" x14ac:dyDescent="0.25">
      <c r="A96">
        <v>79</v>
      </c>
      <c r="B96">
        <v>0.4</v>
      </c>
    </row>
    <row r="97" spans="1:2" x14ac:dyDescent="0.25">
      <c r="A97">
        <v>8</v>
      </c>
      <c r="B97">
        <v>0.4</v>
      </c>
    </row>
    <row r="98" spans="1:2" x14ac:dyDescent="0.25">
      <c r="A98">
        <v>80</v>
      </c>
      <c r="B98">
        <v>0.4</v>
      </c>
    </row>
    <row r="99" spans="1:2" x14ac:dyDescent="0.25">
      <c r="A99">
        <v>81</v>
      </c>
      <c r="B99">
        <v>0.4</v>
      </c>
    </row>
    <row r="100" spans="1:2" x14ac:dyDescent="0.25">
      <c r="A100">
        <v>82</v>
      </c>
      <c r="B100">
        <v>0.4</v>
      </c>
    </row>
    <row r="101" spans="1:2" x14ac:dyDescent="0.25">
      <c r="A101">
        <v>83</v>
      </c>
      <c r="B101">
        <v>0.4</v>
      </c>
    </row>
    <row r="102" spans="1:2" x14ac:dyDescent="0.25">
      <c r="A102">
        <v>84</v>
      </c>
      <c r="B102">
        <v>0.4</v>
      </c>
    </row>
    <row r="103" spans="1:2" x14ac:dyDescent="0.25">
      <c r="A103">
        <v>85</v>
      </c>
      <c r="B103">
        <v>0.4</v>
      </c>
    </row>
    <row r="104" spans="1:2" x14ac:dyDescent="0.25">
      <c r="A104">
        <v>86</v>
      </c>
      <c r="B104">
        <v>0.4</v>
      </c>
    </row>
    <row r="105" spans="1:2" x14ac:dyDescent="0.25">
      <c r="A105">
        <v>87</v>
      </c>
      <c r="B105">
        <v>0.4</v>
      </c>
    </row>
    <row r="106" spans="1:2" x14ac:dyDescent="0.25">
      <c r="A106">
        <v>88</v>
      </c>
      <c r="B106">
        <v>0.4</v>
      </c>
    </row>
    <row r="107" spans="1:2" x14ac:dyDescent="0.25">
      <c r="A107">
        <v>89</v>
      </c>
      <c r="B107">
        <v>0.4</v>
      </c>
    </row>
    <row r="108" spans="1:2" x14ac:dyDescent="0.25">
      <c r="A108">
        <v>9</v>
      </c>
      <c r="B108">
        <v>0.4</v>
      </c>
    </row>
    <row r="109" spans="1:2" x14ac:dyDescent="0.25">
      <c r="A109">
        <v>90</v>
      </c>
      <c r="B109">
        <v>0.4</v>
      </c>
    </row>
    <row r="110" spans="1:2" x14ac:dyDescent="0.25">
      <c r="A110">
        <v>91</v>
      </c>
      <c r="B110">
        <v>0.4</v>
      </c>
    </row>
    <row r="111" spans="1:2" x14ac:dyDescent="0.25">
      <c r="A111">
        <v>92</v>
      </c>
      <c r="B111">
        <v>0.4</v>
      </c>
    </row>
    <row r="112" spans="1:2" x14ac:dyDescent="0.25">
      <c r="A112">
        <v>93</v>
      </c>
      <c r="B112">
        <v>0.4</v>
      </c>
    </row>
    <row r="113" spans="1:2" x14ac:dyDescent="0.25">
      <c r="A113">
        <v>94</v>
      </c>
      <c r="B113">
        <v>0.4</v>
      </c>
    </row>
    <row r="114" spans="1:2" x14ac:dyDescent="0.25">
      <c r="A114">
        <v>95</v>
      </c>
      <c r="B114">
        <v>0.4</v>
      </c>
    </row>
    <row r="115" spans="1:2" x14ac:dyDescent="0.25">
      <c r="A115">
        <v>96</v>
      </c>
      <c r="B115">
        <v>0.4</v>
      </c>
    </row>
    <row r="116" spans="1:2" x14ac:dyDescent="0.25">
      <c r="A116">
        <v>97</v>
      </c>
      <c r="B116">
        <v>0.4</v>
      </c>
    </row>
    <row r="117" spans="1:2" x14ac:dyDescent="0.25">
      <c r="A117">
        <v>98</v>
      </c>
      <c r="B117">
        <v>0.4</v>
      </c>
    </row>
    <row r="118" spans="1:2" x14ac:dyDescent="0.25">
      <c r="A118">
        <v>99</v>
      </c>
      <c r="B118">
        <v>0.4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047D54-EFFE-49DB-AFAC-7C8C62C2F195}">
  <dimension ref="A1:G116"/>
  <sheetViews>
    <sheetView workbookViewId="0">
      <selection activeCell="F2" sqref="F2:G2"/>
    </sheetView>
  </sheetViews>
  <sheetFormatPr defaultRowHeight="15" x14ac:dyDescent="0.25"/>
  <cols>
    <col min="7" max="7" width="11.7109375" customWidth="1"/>
  </cols>
  <sheetData>
    <row r="1" spans="1:7" x14ac:dyDescent="0.25">
      <c r="A1" t="s">
        <v>376</v>
      </c>
      <c r="B1" t="s">
        <v>380</v>
      </c>
      <c r="C1" t="s">
        <v>381</v>
      </c>
      <c r="F1" t="s">
        <v>385</v>
      </c>
      <c r="G1" t="s">
        <v>384</v>
      </c>
    </row>
    <row r="2" spans="1:7" x14ac:dyDescent="0.25">
      <c r="A2" t="s">
        <v>391</v>
      </c>
      <c r="B2">
        <v>1</v>
      </c>
      <c r="C2">
        <v>2</v>
      </c>
      <c r="F2" t="s">
        <v>558</v>
      </c>
      <c r="G2" t="s">
        <v>560</v>
      </c>
    </row>
    <row r="3" spans="1:7" x14ac:dyDescent="0.25">
      <c r="A3" t="s">
        <v>392</v>
      </c>
      <c r="B3">
        <v>2</v>
      </c>
      <c r="C3">
        <v>3</v>
      </c>
      <c r="F3" t="s">
        <v>382</v>
      </c>
      <c r="G3" t="s">
        <v>383</v>
      </c>
    </row>
    <row r="4" spans="1:7" x14ac:dyDescent="0.25">
      <c r="A4" t="s">
        <v>393</v>
      </c>
      <c r="B4">
        <v>2</v>
      </c>
      <c r="C4">
        <v>4</v>
      </c>
      <c r="F4" t="s">
        <v>386</v>
      </c>
      <c r="G4" t="s">
        <v>387</v>
      </c>
    </row>
    <row r="5" spans="1:7" x14ac:dyDescent="0.25">
      <c r="A5" t="s">
        <v>394</v>
      </c>
      <c r="B5">
        <v>3</v>
      </c>
      <c r="C5">
        <v>5</v>
      </c>
      <c r="F5" t="s">
        <v>389</v>
      </c>
      <c r="G5" t="s">
        <v>388</v>
      </c>
    </row>
    <row r="6" spans="1:7" x14ac:dyDescent="0.25">
      <c r="A6" t="s">
        <v>395</v>
      </c>
      <c r="B6">
        <v>4</v>
      </c>
      <c r="C6">
        <v>6</v>
      </c>
      <c r="F6" t="s">
        <v>508</v>
      </c>
      <c r="G6" t="s">
        <v>511</v>
      </c>
    </row>
    <row r="7" spans="1:7" x14ac:dyDescent="0.25">
      <c r="A7" t="s">
        <v>396</v>
      </c>
      <c r="B7">
        <v>6</v>
      </c>
      <c r="C7">
        <v>7</v>
      </c>
      <c r="F7" t="s">
        <v>509</v>
      </c>
      <c r="G7" t="s">
        <v>512</v>
      </c>
    </row>
    <row r="8" spans="1:7" x14ac:dyDescent="0.25">
      <c r="A8" t="s">
        <v>397</v>
      </c>
      <c r="B8">
        <v>4</v>
      </c>
      <c r="C8">
        <v>8</v>
      </c>
      <c r="F8" t="s">
        <v>510</v>
      </c>
      <c r="G8" t="s">
        <v>513</v>
      </c>
    </row>
    <row r="9" spans="1:7" x14ac:dyDescent="0.25">
      <c r="A9" t="s">
        <v>398</v>
      </c>
      <c r="B9">
        <v>8</v>
      </c>
      <c r="C9">
        <v>9</v>
      </c>
      <c r="F9" t="s">
        <v>506</v>
      </c>
      <c r="G9" t="s">
        <v>507</v>
      </c>
    </row>
    <row r="10" spans="1:7" x14ac:dyDescent="0.25">
      <c r="A10" t="s">
        <v>399</v>
      </c>
      <c r="B10">
        <v>3</v>
      </c>
      <c r="C10">
        <v>10</v>
      </c>
    </row>
    <row r="11" spans="1:7" x14ac:dyDescent="0.25">
      <c r="A11" t="s">
        <v>400</v>
      </c>
      <c r="B11">
        <v>9</v>
      </c>
      <c r="C11">
        <v>11</v>
      </c>
    </row>
    <row r="12" spans="1:7" x14ac:dyDescent="0.25">
      <c r="A12" t="s">
        <v>401</v>
      </c>
      <c r="B12">
        <v>9</v>
      </c>
      <c r="C12">
        <v>12</v>
      </c>
    </row>
    <row r="13" spans="1:7" x14ac:dyDescent="0.25">
      <c r="A13" t="s">
        <v>402</v>
      </c>
      <c r="B13">
        <v>6</v>
      </c>
      <c r="C13">
        <v>13</v>
      </c>
    </row>
    <row r="14" spans="1:7" x14ac:dyDescent="0.25">
      <c r="A14" t="s">
        <v>403</v>
      </c>
      <c r="B14">
        <v>8</v>
      </c>
      <c r="C14">
        <v>14</v>
      </c>
    </row>
    <row r="15" spans="1:7" x14ac:dyDescent="0.25">
      <c r="A15" t="s">
        <v>404</v>
      </c>
      <c r="B15">
        <v>14</v>
      </c>
      <c r="C15">
        <v>15</v>
      </c>
    </row>
    <row r="16" spans="1:7" x14ac:dyDescent="0.25">
      <c r="A16" t="s">
        <v>405</v>
      </c>
      <c r="B16">
        <v>15</v>
      </c>
      <c r="C16">
        <v>16</v>
      </c>
    </row>
    <row r="17" spans="1:3" x14ac:dyDescent="0.25">
      <c r="A17" t="s">
        <v>406</v>
      </c>
      <c r="B17">
        <v>16</v>
      </c>
      <c r="C17">
        <v>17</v>
      </c>
    </row>
    <row r="18" spans="1:3" x14ac:dyDescent="0.25">
      <c r="A18" t="s">
        <v>407</v>
      </c>
      <c r="B18">
        <v>17</v>
      </c>
      <c r="C18">
        <v>18</v>
      </c>
    </row>
    <row r="19" spans="1:3" x14ac:dyDescent="0.25">
      <c r="A19" t="s">
        <v>408</v>
      </c>
      <c r="B19">
        <v>14</v>
      </c>
      <c r="C19">
        <v>19</v>
      </c>
    </row>
    <row r="20" spans="1:3" x14ac:dyDescent="0.25">
      <c r="A20" t="s">
        <v>409</v>
      </c>
      <c r="B20">
        <v>19</v>
      </c>
      <c r="C20">
        <v>20</v>
      </c>
    </row>
    <row r="21" spans="1:3" x14ac:dyDescent="0.25">
      <c r="A21" t="s">
        <v>410</v>
      </c>
      <c r="B21">
        <v>19</v>
      </c>
      <c r="C21">
        <v>21</v>
      </c>
    </row>
    <row r="22" spans="1:3" x14ac:dyDescent="0.25">
      <c r="A22" t="s">
        <v>411</v>
      </c>
      <c r="B22">
        <v>20</v>
      </c>
      <c r="C22">
        <v>22</v>
      </c>
    </row>
    <row r="23" spans="1:3" x14ac:dyDescent="0.25">
      <c r="A23" t="s">
        <v>412</v>
      </c>
      <c r="B23">
        <v>20</v>
      </c>
      <c r="C23">
        <v>23</v>
      </c>
    </row>
    <row r="24" spans="1:3" x14ac:dyDescent="0.25">
      <c r="A24" t="s">
        <v>413</v>
      </c>
      <c r="B24">
        <v>23</v>
      </c>
      <c r="C24">
        <v>24</v>
      </c>
    </row>
    <row r="25" spans="1:3" x14ac:dyDescent="0.25">
      <c r="A25" t="s">
        <v>414</v>
      </c>
      <c r="B25">
        <v>22</v>
      </c>
      <c r="C25">
        <v>25</v>
      </c>
    </row>
    <row r="26" spans="1:3" x14ac:dyDescent="0.25">
      <c r="A26" t="s">
        <v>415</v>
      </c>
      <c r="B26">
        <v>23</v>
      </c>
      <c r="C26">
        <v>26</v>
      </c>
    </row>
    <row r="27" spans="1:3" x14ac:dyDescent="0.25">
      <c r="A27" t="s">
        <v>416</v>
      </c>
      <c r="B27">
        <v>24</v>
      </c>
      <c r="C27">
        <v>27</v>
      </c>
    </row>
    <row r="28" spans="1:3" x14ac:dyDescent="0.25">
      <c r="A28" t="s">
        <v>417</v>
      </c>
      <c r="B28">
        <v>15</v>
      </c>
      <c r="C28">
        <v>28</v>
      </c>
    </row>
    <row r="29" spans="1:3" x14ac:dyDescent="0.25">
      <c r="A29" t="s">
        <v>418</v>
      </c>
      <c r="B29">
        <v>27</v>
      </c>
      <c r="C29">
        <v>29</v>
      </c>
    </row>
    <row r="30" spans="1:3" x14ac:dyDescent="0.25">
      <c r="A30" t="s">
        <v>419</v>
      </c>
      <c r="B30">
        <v>27</v>
      </c>
      <c r="C30">
        <v>30</v>
      </c>
    </row>
    <row r="31" spans="1:3" x14ac:dyDescent="0.25">
      <c r="A31" t="s">
        <v>420</v>
      </c>
      <c r="B31">
        <v>17</v>
      </c>
      <c r="C31">
        <v>31</v>
      </c>
    </row>
    <row r="32" spans="1:3" x14ac:dyDescent="0.25">
      <c r="A32" t="s">
        <v>421</v>
      </c>
      <c r="B32">
        <v>28</v>
      </c>
      <c r="C32">
        <v>32</v>
      </c>
    </row>
    <row r="33" spans="1:3" x14ac:dyDescent="0.25">
      <c r="A33" t="s">
        <v>422</v>
      </c>
      <c r="B33">
        <v>22</v>
      </c>
      <c r="C33">
        <v>33</v>
      </c>
    </row>
    <row r="34" spans="1:3" x14ac:dyDescent="0.25">
      <c r="A34" t="s">
        <v>423</v>
      </c>
      <c r="B34">
        <v>31</v>
      </c>
      <c r="C34">
        <v>34</v>
      </c>
    </row>
    <row r="35" spans="1:3" x14ac:dyDescent="0.25">
      <c r="A35" t="s">
        <v>424</v>
      </c>
      <c r="B35">
        <v>32</v>
      </c>
      <c r="C35">
        <v>35</v>
      </c>
    </row>
    <row r="36" spans="1:3" x14ac:dyDescent="0.25">
      <c r="A36" t="s">
        <v>425</v>
      </c>
      <c r="B36">
        <v>18</v>
      </c>
      <c r="C36">
        <v>36</v>
      </c>
    </row>
    <row r="37" spans="1:3" x14ac:dyDescent="0.25">
      <c r="A37" t="s">
        <v>426</v>
      </c>
      <c r="B37">
        <v>16</v>
      </c>
      <c r="C37">
        <v>37</v>
      </c>
    </row>
    <row r="38" spans="1:3" x14ac:dyDescent="0.25">
      <c r="A38" t="s">
        <v>427</v>
      </c>
      <c r="B38">
        <v>35</v>
      </c>
      <c r="C38">
        <v>38</v>
      </c>
    </row>
    <row r="39" spans="1:3" x14ac:dyDescent="0.25">
      <c r="A39" t="s">
        <v>428</v>
      </c>
      <c r="B39">
        <v>31</v>
      </c>
      <c r="C39">
        <v>39</v>
      </c>
    </row>
    <row r="40" spans="1:3" x14ac:dyDescent="0.25">
      <c r="A40" t="s">
        <v>429</v>
      </c>
      <c r="B40">
        <v>36</v>
      </c>
      <c r="C40">
        <v>40</v>
      </c>
    </row>
    <row r="41" spans="1:3" x14ac:dyDescent="0.25">
      <c r="A41" t="s">
        <v>430</v>
      </c>
      <c r="B41">
        <v>38</v>
      </c>
      <c r="C41">
        <v>41</v>
      </c>
    </row>
    <row r="42" spans="1:3" x14ac:dyDescent="0.25">
      <c r="A42" t="s">
        <v>431</v>
      </c>
      <c r="B42">
        <v>36</v>
      </c>
      <c r="C42">
        <v>42</v>
      </c>
    </row>
    <row r="43" spans="1:3" x14ac:dyDescent="0.25">
      <c r="A43" t="s">
        <v>432</v>
      </c>
      <c r="B43">
        <v>41</v>
      </c>
      <c r="C43">
        <v>43</v>
      </c>
    </row>
    <row r="44" spans="1:3" x14ac:dyDescent="0.25">
      <c r="A44" t="s">
        <v>433</v>
      </c>
      <c r="B44">
        <v>38</v>
      </c>
      <c r="C44">
        <v>44</v>
      </c>
    </row>
    <row r="45" spans="1:3" x14ac:dyDescent="0.25">
      <c r="A45" t="s">
        <v>434</v>
      </c>
      <c r="B45">
        <v>41</v>
      </c>
      <c r="C45">
        <v>45</v>
      </c>
    </row>
    <row r="46" spans="1:3" x14ac:dyDescent="0.25">
      <c r="A46" t="s">
        <v>435</v>
      </c>
      <c r="B46">
        <v>32</v>
      </c>
      <c r="C46">
        <v>46</v>
      </c>
    </row>
    <row r="47" spans="1:3" x14ac:dyDescent="0.25">
      <c r="A47" t="s">
        <v>436</v>
      </c>
      <c r="B47">
        <v>44</v>
      </c>
      <c r="C47">
        <v>47</v>
      </c>
    </row>
    <row r="48" spans="1:3" x14ac:dyDescent="0.25">
      <c r="A48" t="s">
        <v>437</v>
      </c>
      <c r="B48">
        <v>35</v>
      </c>
      <c r="C48">
        <v>48</v>
      </c>
    </row>
    <row r="49" spans="1:3" x14ac:dyDescent="0.25">
      <c r="A49" t="s">
        <v>438</v>
      </c>
      <c r="B49">
        <v>28</v>
      </c>
      <c r="C49">
        <v>49</v>
      </c>
    </row>
    <row r="50" spans="1:3" x14ac:dyDescent="0.25">
      <c r="A50" t="s">
        <v>439</v>
      </c>
      <c r="B50">
        <v>44</v>
      </c>
      <c r="C50">
        <v>50</v>
      </c>
    </row>
    <row r="51" spans="1:3" x14ac:dyDescent="0.25">
      <c r="A51" t="s">
        <v>440</v>
      </c>
      <c r="B51">
        <v>48</v>
      </c>
      <c r="C51">
        <v>51</v>
      </c>
    </row>
    <row r="52" spans="1:3" x14ac:dyDescent="0.25">
      <c r="A52" t="s">
        <v>441</v>
      </c>
      <c r="B52">
        <v>43</v>
      </c>
      <c r="C52">
        <v>52</v>
      </c>
    </row>
    <row r="53" spans="1:3" x14ac:dyDescent="0.25">
      <c r="A53" t="s">
        <v>442</v>
      </c>
      <c r="B53">
        <v>43</v>
      </c>
      <c r="C53">
        <v>53</v>
      </c>
    </row>
    <row r="54" spans="1:3" x14ac:dyDescent="0.25">
      <c r="A54" t="s">
        <v>443</v>
      </c>
      <c r="B54">
        <v>48</v>
      </c>
      <c r="C54">
        <v>54</v>
      </c>
    </row>
    <row r="55" spans="1:3" x14ac:dyDescent="0.25">
      <c r="A55" t="s">
        <v>444</v>
      </c>
      <c r="B55">
        <v>53</v>
      </c>
      <c r="C55">
        <v>55</v>
      </c>
    </row>
    <row r="56" spans="1:3" x14ac:dyDescent="0.25">
      <c r="A56" t="s">
        <v>445</v>
      </c>
      <c r="B56">
        <v>55</v>
      </c>
      <c r="C56">
        <v>56</v>
      </c>
    </row>
    <row r="57" spans="1:3" x14ac:dyDescent="0.25">
      <c r="A57" t="s">
        <v>446</v>
      </c>
      <c r="B57">
        <v>56</v>
      </c>
      <c r="C57">
        <v>57</v>
      </c>
    </row>
    <row r="58" spans="1:3" x14ac:dyDescent="0.25">
      <c r="A58" t="s">
        <v>447</v>
      </c>
      <c r="B58">
        <v>51</v>
      </c>
      <c r="C58">
        <v>58</v>
      </c>
    </row>
    <row r="59" spans="1:3" x14ac:dyDescent="0.25">
      <c r="A59" t="s">
        <v>448</v>
      </c>
      <c r="B59">
        <v>55</v>
      </c>
      <c r="C59">
        <v>59</v>
      </c>
    </row>
    <row r="60" spans="1:3" x14ac:dyDescent="0.25">
      <c r="A60" t="s">
        <v>449</v>
      </c>
      <c r="B60">
        <v>58</v>
      </c>
      <c r="C60">
        <v>60</v>
      </c>
    </row>
    <row r="61" spans="1:3" x14ac:dyDescent="0.25">
      <c r="A61" t="s">
        <v>450</v>
      </c>
      <c r="B61">
        <v>51</v>
      </c>
      <c r="C61">
        <v>61</v>
      </c>
    </row>
    <row r="62" spans="1:3" x14ac:dyDescent="0.25">
      <c r="A62" t="s">
        <v>451</v>
      </c>
      <c r="B62">
        <v>61</v>
      </c>
      <c r="C62">
        <v>62</v>
      </c>
    </row>
    <row r="63" spans="1:3" x14ac:dyDescent="0.25">
      <c r="A63" t="s">
        <v>452</v>
      </c>
      <c r="B63">
        <v>59</v>
      </c>
      <c r="C63">
        <v>63</v>
      </c>
    </row>
    <row r="64" spans="1:3" x14ac:dyDescent="0.25">
      <c r="A64" t="s">
        <v>453</v>
      </c>
      <c r="B64">
        <v>61</v>
      </c>
      <c r="C64">
        <v>64</v>
      </c>
    </row>
    <row r="65" spans="1:3" x14ac:dyDescent="0.25">
      <c r="A65" t="s">
        <v>454</v>
      </c>
      <c r="B65">
        <v>59</v>
      </c>
      <c r="C65">
        <v>65</v>
      </c>
    </row>
    <row r="66" spans="1:3" x14ac:dyDescent="0.25">
      <c r="A66" t="s">
        <v>455</v>
      </c>
      <c r="B66">
        <v>63</v>
      </c>
      <c r="C66">
        <v>66</v>
      </c>
    </row>
    <row r="67" spans="1:3" x14ac:dyDescent="0.25">
      <c r="A67" t="s">
        <v>456</v>
      </c>
      <c r="B67">
        <v>56</v>
      </c>
      <c r="C67">
        <v>67</v>
      </c>
    </row>
    <row r="68" spans="1:3" x14ac:dyDescent="0.25">
      <c r="A68" t="s">
        <v>457</v>
      </c>
      <c r="B68">
        <v>58</v>
      </c>
      <c r="C68">
        <v>68</v>
      </c>
    </row>
    <row r="69" spans="1:3" x14ac:dyDescent="0.25">
      <c r="A69" t="s">
        <v>458</v>
      </c>
      <c r="B69">
        <v>65</v>
      </c>
      <c r="C69">
        <v>69</v>
      </c>
    </row>
    <row r="70" spans="1:3" x14ac:dyDescent="0.25">
      <c r="A70" t="s">
        <v>459</v>
      </c>
      <c r="B70">
        <v>69</v>
      </c>
      <c r="C70">
        <v>70</v>
      </c>
    </row>
    <row r="71" spans="1:3" x14ac:dyDescent="0.25">
      <c r="A71" t="s">
        <v>460</v>
      </c>
      <c r="B71">
        <v>68</v>
      </c>
      <c r="C71">
        <v>71</v>
      </c>
    </row>
    <row r="72" spans="1:3" x14ac:dyDescent="0.25">
      <c r="A72" t="s">
        <v>461</v>
      </c>
      <c r="B72">
        <v>63</v>
      </c>
      <c r="C72">
        <v>72</v>
      </c>
    </row>
    <row r="73" spans="1:3" x14ac:dyDescent="0.25">
      <c r="A73" t="s">
        <v>462</v>
      </c>
      <c r="B73">
        <v>71</v>
      </c>
      <c r="C73">
        <v>73</v>
      </c>
    </row>
    <row r="74" spans="1:3" x14ac:dyDescent="0.25">
      <c r="A74" t="s">
        <v>463</v>
      </c>
      <c r="B74">
        <v>71</v>
      </c>
      <c r="C74">
        <v>74</v>
      </c>
    </row>
    <row r="75" spans="1:3" x14ac:dyDescent="0.25">
      <c r="A75" t="s">
        <v>464</v>
      </c>
      <c r="B75">
        <v>69</v>
      </c>
      <c r="C75">
        <v>75</v>
      </c>
    </row>
    <row r="76" spans="1:3" x14ac:dyDescent="0.25">
      <c r="A76" t="s">
        <v>465</v>
      </c>
      <c r="B76">
        <v>53</v>
      </c>
      <c r="C76">
        <v>76</v>
      </c>
    </row>
    <row r="77" spans="1:3" x14ac:dyDescent="0.25">
      <c r="A77" t="s">
        <v>466</v>
      </c>
      <c r="B77">
        <v>70</v>
      </c>
      <c r="C77">
        <v>77</v>
      </c>
    </row>
    <row r="78" spans="1:3" x14ac:dyDescent="0.25">
      <c r="A78" t="s">
        <v>467</v>
      </c>
      <c r="B78">
        <v>65</v>
      </c>
      <c r="C78">
        <v>78</v>
      </c>
    </row>
    <row r="79" spans="1:3" x14ac:dyDescent="0.25">
      <c r="A79" t="s">
        <v>468</v>
      </c>
      <c r="B79">
        <v>74</v>
      </c>
      <c r="C79">
        <v>79</v>
      </c>
    </row>
    <row r="80" spans="1:3" x14ac:dyDescent="0.25">
      <c r="A80" t="s">
        <v>469</v>
      </c>
      <c r="B80">
        <v>78</v>
      </c>
      <c r="C80">
        <v>80</v>
      </c>
    </row>
    <row r="81" spans="1:3" x14ac:dyDescent="0.25">
      <c r="A81" t="s">
        <v>470</v>
      </c>
      <c r="B81">
        <v>78</v>
      </c>
      <c r="C81">
        <v>81</v>
      </c>
    </row>
    <row r="82" spans="1:3" x14ac:dyDescent="0.25">
      <c r="A82" t="s">
        <v>471</v>
      </c>
      <c r="B82">
        <v>79</v>
      </c>
      <c r="C82">
        <v>82</v>
      </c>
    </row>
    <row r="83" spans="1:3" x14ac:dyDescent="0.25">
      <c r="A83" t="s">
        <v>472</v>
      </c>
      <c r="B83">
        <v>74</v>
      </c>
      <c r="C83">
        <v>83</v>
      </c>
    </row>
    <row r="84" spans="1:3" x14ac:dyDescent="0.25">
      <c r="A84" t="s">
        <v>473</v>
      </c>
      <c r="B84">
        <v>82</v>
      </c>
      <c r="C84">
        <v>84</v>
      </c>
    </row>
    <row r="85" spans="1:3" x14ac:dyDescent="0.25">
      <c r="A85" t="s">
        <v>474</v>
      </c>
      <c r="B85">
        <v>82</v>
      </c>
      <c r="C85">
        <v>85</v>
      </c>
    </row>
    <row r="86" spans="1:3" x14ac:dyDescent="0.25">
      <c r="A86" t="s">
        <v>475</v>
      </c>
      <c r="B86">
        <v>85</v>
      </c>
      <c r="C86">
        <v>86</v>
      </c>
    </row>
    <row r="87" spans="1:3" x14ac:dyDescent="0.25">
      <c r="A87" t="s">
        <v>476</v>
      </c>
      <c r="B87">
        <v>84</v>
      </c>
      <c r="C87">
        <v>87</v>
      </c>
    </row>
    <row r="88" spans="1:3" x14ac:dyDescent="0.25">
      <c r="A88" t="s">
        <v>477</v>
      </c>
      <c r="B88">
        <v>85</v>
      </c>
      <c r="C88">
        <v>88</v>
      </c>
    </row>
    <row r="89" spans="1:3" x14ac:dyDescent="0.25">
      <c r="A89" t="s">
        <v>478</v>
      </c>
      <c r="B89">
        <v>86</v>
      </c>
      <c r="C89">
        <v>89</v>
      </c>
    </row>
    <row r="90" spans="1:3" x14ac:dyDescent="0.25">
      <c r="A90" t="s">
        <v>479</v>
      </c>
      <c r="B90">
        <v>89</v>
      </c>
      <c r="C90">
        <v>90</v>
      </c>
    </row>
    <row r="91" spans="1:3" x14ac:dyDescent="0.25">
      <c r="A91" t="s">
        <v>480</v>
      </c>
      <c r="B91">
        <v>90</v>
      </c>
      <c r="C91">
        <v>91</v>
      </c>
    </row>
    <row r="92" spans="1:3" x14ac:dyDescent="0.25">
      <c r="A92" t="s">
        <v>481</v>
      </c>
      <c r="B92">
        <v>90</v>
      </c>
      <c r="C92">
        <v>92</v>
      </c>
    </row>
    <row r="93" spans="1:3" x14ac:dyDescent="0.25">
      <c r="A93" t="s">
        <v>482</v>
      </c>
      <c r="B93">
        <v>91</v>
      </c>
      <c r="C93">
        <v>93</v>
      </c>
    </row>
    <row r="94" spans="1:3" x14ac:dyDescent="0.25">
      <c r="A94" t="s">
        <v>483</v>
      </c>
      <c r="B94">
        <v>92</v>
      </c>
      <c r="C94">
        <v>94</v>
      </c>
    </row>
    <row r="95" spans="1:3" x14ac:dyDescent="0.25">
      <c r="A95" t="s">
        <v>484</v>
      </c>
      <c r="B95">
        <v>84</v>
      </c>
      <c r="C95">
        <v>95</v>
      </c>
    </row>
    <row r="96" spans="1:3" x14ac:dyDescent="0.25">
      <c r="A96" t="s">
        <v>485</v>
      </c>
      <c r="B96">
        <v>94</v>
      </c>
      <c r="C96">
        <v>96</v>
      </c>
    </row>
    <row r="97" spans="1:3" x14ac:dyDescent="0.25">
      <c r="A97" t="s">
        <v>486</v>
      </c>
      <c r="B97">
        <v>68</v>
      </c>
      <c r="C97">
        <v>97</v>
      </c>
    </row>
    <row r="98" spans="1:3" x14ac:dyDescent="0.25">
      <c r="A98" t="s">
        <v>487</v>
      </c>
      <c r="B98">
        <v>79</v>
      </c>
      <c r="C98">
        <v>98</v>
      </c>
    </row>
    <row r="99" spans="1:3" x14ac:dyDescent="0.25">
      <c r="A99" t="s">
        <v>488</v>
      </c>
      <c r="B99">
        <v>92</v>
      </c>
      <c r="C99">
        <v>99</v>
      </c>
    </row>
    <row r="100" spans="1:3" x14ac:dyDescent="0.25">
      <c r="A100" t="s">
        <v>489</v>
      </c>
      <c r="B100">
        <v>99</v>
      </c>
      <c r="C100">
        <v>100</v>
      </c>
    </row>
    <row r="101" spans="1:3" x14ac:dyDescent="0.25">
      <c r="A101" t="s">
        <v>490</v>
      </c>
      <c r="B101">
        <v>100</v>
      </c>
      <c r="C101">
        <v>101</v>
      </c>
    </row>
    <row r="102" spans="1:3" x14ac:dyDescent="0.25">
      <c r="A102" t="s">
        <v>491</v>
      </c>
      <c r="B102">
        <v>91</v>
      </c>
      <c r="C102">
        <v>102</v>
      </c>
    </row>
    <row r="103" spans="1:3" x14ac:dyDescent="0.25">
      <c r="A103" t="s">
        <v>492</v>
      </c>
      <c r="B103">
        <v>98</v>
      </c>
      <c r="C103">
        <v>103</v>
      </c>
    </row>
    <row r="104" spans="1:3" x14ac:dyDescent="0.25">
      <c r="A104" t="s">
        <v>493</v>
      </c>
      <c r="B104">
        <v>94</v>
      </c>
      <c r="C104">
        <v>104</v>
      </c>
    </row>
    <row r="105" spans="1:3" x14ac:dyDescent="0.25">
      <c r="A105" t="s">
        <v>494</v>
      </c>
      <c r="B105">
        <v>98</v>
      </c>
      <c r="C105">
        <v>105</v>
      </c>
    </row>
    <row r="106" spans="1:3" x14ac:dyDescent="0.25">
      <c r="A106" t="s">
        <v>495</v>
      </c>
      <c r="B106">
        <v>105</v>
      </c>
      <c r="C106">
        <v>106</v>
      </c>
    </row>
    <row r="107" spans="1:3" x14ac:dyDescent="0.25">
      <c r="A107" t="s">
        <v>496</v>
      </c>
      <c r="B107">
        <v>105</v>
      </c>
      <c r="C107">
        <v>107</v>
      </c>
    </row>
    <row r="108" spans="1:3" x14ac:dyDescent="0.25">
      <c r="A108" t="s">
        <v>497</v>
      </c>
      <c r="B108">
        <v>101</v>
      </c>
      <c r="C108">
        <v>108</v>
      </c>
    </row>
    <row r="109" spans="1:3" x14ac:dyDescent="0.25">
      <c r="A109" t="s">
        <v>498</v>
      </c>
      <c r="B109">
        <v>99</v>
      </c>
      <c r="C109">
        <v>109</v>
      </c>
    </row>
    <row r="110" spans="1:3" x14ac:dyDescent="0.25">
      <c r="A110" t="s">
        <v>499</v>
      </c>
      <c r="B110">
        <v>108</v>
      </c>
      <c r="C110">
        <v>110</v>
      </c>
    </row>
    <row r="111" spans="1:3" x14ac:dyDescent="0.25">
      <c r="A111" t="s">
        <v>500</v>
      </c>
      <c r="B111">
        <v>89</v>
      </c>
      <c r="C111">
        <v>111</v>
      </c>
    </row>
    <row r="112" spans="1:3" x14ac:dyDescent="0.25">
      <c r="A112" t="s">
        <v>501</v>
      </c>
      <c r="B112">
        <v>111</v>
      </c>
      <c r="C112">
        <v>112</v>
      </c>
    </row>
    <row r="113" spans="1:3" x14ac:dyDescent="0.25">
      <c r="A113" t="s">
        <v>502</v>
      </c>
      <c r="B113">
        <v>109</v>
      </c>
      <c r="C113">
        <v>113</v>
      </c>
    </row>
    <row r="114" spans="1:3" x14ac:dyDescent="0.25">
      <c r="A114" t="s">
        <v>503</v>
      </c>
      <c r="B114">
        <v>108</v>
      </c>
      <c r="C114">
        <v>114</v>
      </c>
    </row>
    <row r="115" spans="1:3" x14ac:dyDescent="0.25">
      <c r="A115" t="s">
        <v>504</v>
      </c>
      <c r="B115">
        <v>111</v>
      </c>
      <c r="C115">
        <v>115</v>
      </c>
    </row>
    <row r="116" spans="1:3" x14ac:dyDescent="0.25">
      <c r="A116" t="s">
        <v>505</v>
      </c>
      <c r="B116">
        <v>109</v>
      </c>
      <c r="C116">
        <v>116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6472F3-E513-43CE-A04D-4ADFBFF21041}">
  <dimension ref="A1:P60"/>
  <sheetViews>
    <sheetView topLeftCell="A37" workbookViewId="0">
      <selection activeCell="I50" sqref="I50"/>
    </sheetView>
  </sheetViews>
  <sheetFormatPr defaultRowHeight="15" x14ac:dyDescent="0.25"/>
  <cols>
    <col min="2" max="2" width="11.140625" customWidth="1"/>
    <col min="11" max="11" width="21.28515625" customWidth="1"/>
  </cols>
  <sheetData>
    <row r="1" spans="1:16" x14ac:dyDescent="0.25">
      <c r="A1" s="1" t="s">
        <v>0</v>
      </c>
      <c r="B1" s="1" t="s">
        <v>338</v>
      </c>
      <c r="C1" s="1" t="s">
        <v>339</v>
      </c>
      <c r="D1" s="1" t="s">
        <v>340</v>
      </c>
      <c r="E1" s="1" t="s">
        <v>341</v>
      </c>
      <c r="F1" s="1" t="s">
        <v>342</v>
      </c>
      <c r="G1" s="1" t="s">
        <v>343</v>
      </c>
      <c r="K1" t="s">
        <v>385</v>
      </c>
      <c r="L1" t="s">
        <v>384</v>
      </c>
    </row>
    <row r="2" spans="1:16" x14ac:dyDescent="0.25">
      <c r="A2" s="1" t="s">
        <v>532</v>
      </c>
      <c r="B2" s="1" t="s">
        <v>531</v>
      </c>
      <c r="C2" s="1" t="s">
        <v>533</v>
      </c>
      <c r="D2" s="1" t="s">
        <v>534</v>
      </c>
      <c r="E2" s="1" t="s">
        <v>535</v>
      </c>
      <c r="F2" s="1" t="s">
        <v>536</v>
      </c>
      <c r="G2" s="1" t="s">
        <v>537</v>
      </c>
      <c r="H2" s="1" t="s">
        <v>563</v>
      </c>
      <c r="J2" s="1"/>
      <c r="K2" t="s">
        <v>558</v>
      </c>
      <c r="L2" t="s">
        <v>561</v>
      </c>
    </row>
    <row r="3" spans="1:16" x14ac:dyDescent="0.25">
      <c r="A3" t="s">
        <v>285</v>
      </c>
      <c r="B3">
        <v>0.8</v>
      </c>
      <c r="C3">
        <v>0.8</v>
      </c>
      <c r="D3">
        <v>0.8</v>
      </c>
      <c r="E3">
        <v>0.16200000000000001</v>
      </c>
      <c r="F3">
        <v>0.16200000000000001</v>
      </c>
      <c r="G3">
        <v>0.16200000000000001</v>
      </c>
      <c r="H3">
        <v>10</v>
      </c>
      <c r="I3" s="4"/>
      <c r="K3" t="s">
        <v>538</v>
      </c>
      <c r="L3" t="s">
        <v>539</v>
      </c>
      <c r="N3" s="5"/>
      <c r="O3" s="5"/>
      <c r="P3" s="5"/>
    </row>
    <row r="4" spans="1:16" x14ac:dyDescent="0.25">
      <c r="A4" t="s">
        <v>327</v>
      </c>
      <c r="B4">
        <v>1</v>
      </c>
      <c r="C4">
        <v>0</v>
      </c>
      <c r="D4">
        <v>0</v>
      </c>
      <c r="E4">
        <v>0.20300000000000001</v>
      </c>
      <c r="F4" s="6">
        <v>0</v>
      </c>
      <c r="G4" s="6">
        <v>0</v>
      </c>
      <c r="H4">
        <v>102</v>
      </c>
      <c r="K4" t="s">
        <v>540</v>
      </c>
      <c r="L4" t="s">
        <v>542</v>
      </c>
      <c r="N4" s="5"/>
      <c r="O4" s="5"/>
      <c r="P4" s="5"/>
    </row>
    <row r="5" spans="1:16" x14ac:dyDescent="0.25">
      <c r="A5" t="s">
        <v>328</v>
      </c>
      <c r="B5">
        <v>0.8</v>
      </c>
      <c r="C5">
        <v>0.8</v>
      </c>
      <c r="D5">
        <v>0.8</v>
      </c>
      <c r="E5">
        <v>0.16200000000000001</v>
      </c>
      <c r="F5">
        <v>0.16200000000000001</v>
      </c>
      <c r="G5">
        <v>0.16200000000000001</v>
      </c>
      <c r="H5">
        <v>103</v>
      </c>
      <c r="K5" t="s">
        <v>541</v>
      </c>
      <c r="L5" t="s">
        <v>543</v>
      </c>
      <c r="N5" s="5"/>
      <c r="O5" s="5"/>
      <c r="P5" s="5"/>
    </row>
    <row r="6" spans="1:16" x14ac:dyDescent="0.25">
      <c r="A6" t="s">
        <v>329</v>
      </c>
      <c r="B6">
        <v>0</v>
      </c>
      <c r="C6">
        <v>1</v>
      </c>
      <c r="D6">
        <v>0</v>
      </c>
      <c r="E6" s="6">
        <v>0</v>
      </c>
      <c r="F6">
        <v>0.20300000000000001</v>
      </c>
      <c r="G6" s="6">
        <v>0</v>
      </c>
      <c r="H6">
        <v>104</v>
      </c>
      <c r="K6" t="s">
        <v>544</v>
      </c>
      <c r="L6" t="s">
        <v>547</v>
      </c>
      <c r="N6" s="5"/>
      <c r="O6" s="5"/>
      <c r="P6" s="5"/>
    </row>
    <row r="7" spans="1:16" x14ac:dyDescent="0.25">
      <c r="A7" t="s">
        <v>330</v>
      </c>
      <c r="B7">
        <v>0</v>
      </c>
      <c r="C7">
        <v>1</v>
      </c>
      <c r="D7">
        <v>0</v>
      </c>
      <c r="E7" s="6">
        <v>0</v>
      </c>
      <c r="F7">
        <v>0.20300000000000001</v>
      </c>
      <c r="G7" s="6">
        <v>0</v>
      </c>
      <c r="H7">
        <v>106</v>
      </c>
      <c r="K7" t="s">
        <v>545</v>
      </c>
      <c r="L7" t="s">
        <v>548</v>
      </c>
      <c r="N7" s="5"/>
      <c r="O7" s="5"/>
      <c r="P7" s="5"/>
    </row>
    <row r="8" spans="1:16" x14ac:dyDescent="0.25">
      <c r="A8" t="s">
        <v>331</v>
      </c>
      <c r="B8">
        <v>0.8</v>
      </c>
      <c r="C8">
        <v>0.8</v>
      </c>
      <c r="D8">
        <v>0.8</v>
      </c>
      <c r="E8">
        <v>0.16200000000000001</v>
      </c>
      <c r="F8">
        <v>0.16200000000000001</v>
      </c>
      <c r="G8">
        <v>0.16200000000000001</v>
      </c>
      <c r="H8">
        <v>107</v>
      </c>
      <c r="K8" t="s">
        <v>546</v>
      </c>
      <c r="L8" t="s">
        <v>549</v>
      </c>
      <c r="N8" s="5"/>
      <c r="O8" s="5"/>
      <c r="P8" s="5"/>
    </row>
    <row r="9" spans="1:16" x14ac:dyDescent="0.25">
      <c r="A9" t="s">
        <v>286</v>
      </c>
      <c r="B9">
        <v>0</v>
      </c>
      <c r="C9">
        <v>1</v>
      </c>
      <c r="D9">
        <v>0</v>
      </c>
      <c r="E9" s="6">
        <v>0</v>
      </c>
      <c r="F9">
        <v>0.20300000000000001</v>
      </c>
      <c r="G9" s="6">
        <v>0</v>
      </c>
      <c r="H9">
        <v>11</v>
      </c>
      <c r="K9" t="s">
        <v>556</v>
      </c>
      <c r="L9" t="s">
        <v>557</v>
      </c>
      <c r="N9" s="5"/>
      <c r="O9" s="5"/>
      <c r="P9" s="5"/>
    </row>
    <row r="10" spans="1:16" x14ac:dyDescent="0.25">
      <c r="A10" t="s">
        <v>332</v>
      </c>
      <c r="B10">
        <v>1</v>
      </c>
      <c r="C10">
        <v>0</v>
      </c>
      <c r="D10">
        <v>0</v>
      </c>
      <c r="E10">
        <v>0.20300000000000001</v>
      </c>
      <c r="F10" s="6">
        <v>0</v>
      </c>
      <c r="G10" s="6">
        <v>0</v>
      </c>
      <c r="H10">
        <v>110</v>
      </c>
      <c r="N10" s="5"/>
      <c r="O10" s="5"/>
      <c r="P10" s="5"/>
    </row>
    <row r="11" spans="1:16" x14ac:dyDescent="0.25">
      <c r="A11" t="s">
        <v>333</v>
      </c>
      <c r="B11">
        <v>0.8</v>
      </c>
      <c r="C11">
        <v>0.8</v>
      </c>
      <c r="D11">
        <v>0.8</v>
      </c>
      <c r="E11">
        <v>0.16200000000000001</v>
      </c>
      <c r="F11">
        <v>0.16200000000000001</v>
      </c>
      <c r="G11">
        <v>0.16200000000000001</v>
      </c>
      <c r="H11">
        <v>112</v>
      </c>
      <c r="N11" s="5"/>
      <c r="O11" s="5"/>
      <c r="P11" s="5"/>
    </row>
    <row r="12" spans="1:16" x14ac:dyDescent="0.25">
      <c r="A12" t="s">
        <v>334</v>
      </c>
      <c r="B12">
        <v>0</v>
      </c>
      <c r="C12">
        <v>1</v>
      </c>
      <c r="D12">
        <v>0</v>
      </c>
      <c r="E12" s="6">
        <v>0</v>
      </c>
      <c r="F12">
        <v>0.20300000000000001</v>
      </c>
      <c r="G12" s="6">
        <v>0</v>
      </c>
      <c r="H12">
        <v>113</v>
      </c>
      <c r="N12" s="5"/>
      <c r="O12" s="5"/>
      <c r="P12" s="5"/>
    </row>
    <row r="13" spans="1:16" x14ac:dyDescent="0.25">
      <c r="A13" t="s">
        <v>335</v>
      </c>
      <c r="B13">
        <v>0.8</v>
      </c>
      <c r="C13">
        <v>0.8</v>
      </c>
      <c r="D13">
        <v>0.8</v>
      </c>
      <c r="E13">
        <v>0.16200000000000001</v>
      </c>
      <c r="F13">
        <v>0.16200000000000001</v>
      </c>
      <c r="G13">
        <v>0.16200000000000001</v>
      </c>
      <c r="H13">
        <v>114</v>
      </c>
      <c r="N13" s="5"/>
      <c r="O13" s="5"/>
      <c r="P13" s="5"/>
    </row>
    <row r="14" spans="1:16" x14ac:dyDescent="0.25">
      <c r="A14" t="s">
        <v>336</v>
      </c>
      <c r="B14">
        <v>0</v>
      </c>
      <c r="C14">
        <v>1</v>
      </c>
      <c r="D14">
        <v>0</v>
      </c>
      <c r="E14" s="6">
        <v>0</v>
      </c>
      <c r="F14">
        <v>0.20300000000000001</v>
      </c>
      <c r="G14" s="6">
        <v>0</v>
      </c>
      <c r="H14">
        <v>115</v>
      </c>
      <c r="N14" s="5"/>
      <c r="O14" s="5"/>
      <c r="P14" s="5"/>
    </row>
    <row r="15" spans="1:16" x14ac:dyDescent="0.25">
      <c r="A15" t="s">
        <v>337</v>
      </c>
      <c r="B15">
        <v>0.8</v>
      </c>
      <c r="C15">
        <v>0.8</v>
      </c>
      <c r="D15">
        <v>0.8</v>
      </c>
      <c r="E15">
        <v>0.16200000000000001</v>
      </c>
      <c r="F15">
        <v>0.16200000000000001</v>
      </c>
      <c r="G15">
        <v>0.16200000000000001</v>
      </c>
      <c r="H15">
        <v>116</v>
      </c>
      <c r="N15" s="5"/>
      <c r="O15" s="5"/>
      <c r="P15" s="5"/>
    </row>
    <row r="16" spans="1:16" x14ac:dyDescent="0.25">
      <c r="A16" t="s">
        <v>287</v>
      </c>
      <c r="B16">
        <v>0.8</v>
      </c>
      <c r="C16">
        <v>0.8</v>
      </c>
      <c r="D16">
        <v>0.8</v>
      </c>
      <c r="E16">
        <v>0.16200000000000001</v>
      </c>
      <c r="F16">
        <v>0.16200000000000001</v>
      </c>
      <c r="G16">
        <v>0.16200000000000001</v>
      </c>
      <c r="H16">
        <v>12</v>
      </c>
      <c r="N16" s="5"/>
      <c r="O16" s="5"/>
      <c r="P16" s="5"/>
    </row>
    <row r="17" spans="1:16" x14ac:dyDescent="0.25">
      <c r="A17" t="s">
        <v>288</v>
      </c>
      <c r="B17">
        <v>0.8</v>
      </c>
      <c r="C17">
        <v>0.8</v>
      </c>
      <c r="D17">
        <v>0.8</v>
      </c>
      <c r="E17">
        <v>0.16200000000000001</v>
      </c>
      <c r="F17">
        <v>0.16200000000000001</v>
      </c>
      <c r="G17">
        <v>0.16200000000000001</v>
      </c>
      <c r="H17">
        <v>13</v>
      </c>
      <c r="N17" s="5"/>
      <c r="O17" s="5"/>
      <c r="P17" s="5"/>
    </row>
    <row r="18" spans="1:16" x14ac:dyDescent="0.25">
      <c r="A18" t="s">
        <v>289</v>
      </c>
      <c r="B18">
        <v>0.8</v>
      </c>
      <c r="C18">
        <v>0.8</v>
      </c>
      <c r="D18">
        <v>0.8</v>
      </c>
      <c r="E18">
        <v>0.16200000000000001</v>
      </c>
      <c r="F18">
        <v>0.16200000000000001</v>
      </c>
      <c r="G18">
        <v>0.16200000000000001</v>
      </c>
      <c r="H18">
        <v>21</v>
      </c>
      <c r="N18" s="5"/>
      <c r="O18" s="5"/>
      <c r="P18" s="5"/>
    </row>
    <row r="19" spans="1:16" x14ac:dyDescent="0.25">
      <c r="A19" t="s">
        <v>290</v>
      </c>
      <c r="B19">
        <v>0</v>
      </c>
      <c r="C19">
        <v>1</v>
      </c>
      <c r="D19">
        <v>0</v>
      </c>
      <c r="E19" s="6">
        <v>0</v>
      </c>
      <c r="F19">
        <v>0.20300000000000001</v>
      </c>
      <c r="G19" s="6">
        <v>0</v>
      </c>
      <c r="H19">
        <v>25</v>
      </c>
      <c r="N19" s="5"/>
      <c r="O19" s="5"/>
      <c r="P19" s="5"/>
    </row>
    <row r="20" spans="1:16" x14ac:dyDescent="0.25">
      <c r="A20" t="s">
        <v>291</v>
      </c>
      <c r="B20">
        <v>0.8</v>
      </c>
      <c r="C20">
        <v>0.8</v>
      </c>
      <c r="D20">
        <v>0.8</v>
      </c>
      <c r="E20">
        <v>0.16200000000000001</v>
      </c>
      <c r="F20">
        <v>0.16200000000000001</v>
      </c>
      <c r="G20">
        <v>0.16200000000000001</v>
      </c>
      <c r="H20">
        <v>26</v>
      </c>
      <c r="N20" s="5"/>
      <c r="O20" s="5"/>
      <c r="P20" s="5"/>
    </row>
    <row r="21" spans="1:16" x14ac:dyDescent="0.25">
      <c r="A21" t="s">
        <v>292</v>
      </c>
      <c r="B21">
        <v>0</v>
      </c>
      <c r="C21">
        <v>1</v>
      </c>
      <c r="D21">
        <v>0</v>
      </c>
      <c r="E21" s="6">
        <v>0</v>
      </c>
      <c r="F21">
        <v>0.20300000000000001</v>
      </c>
      <c r="G21" s="6">
        <v>0</v>
      </c>
      <c r="H21">
        <v>29</v>
      </c>
      <c r="N21" s="5"/>
      <c r="O21" s="5"/>
      <c r="P21" s="5"/>
    </row>
    <row r="22" spans="1:16" x14ac:dyDescent="0.25">
      <c r="A22" t="s">
        <v>293</v>
      </c>
      <c r="B22">
        <v>0</v>
      </c>
      <c r="C22">
        <v>1</v>
      </c>
      <c r="D22">
        <v>0</v>
      </c>
      <c r="E22" s="6">
        <v>0</v>
      </c>
      <c r="F22">
        <v>0.20300000000000001</v>
      </c>
      <c r="G22" s="6">
        <v>0</v>
      </c>
      <c r="H22">
        <v>30</v>
      </c>
      <c r="N22" s="5"/>
      <c r="O22" s="5"/>
      <c r="P22" s="5"/>
    </row>
    <row r="23" spans="1:16" x14ac:dyDescent="0.25">
      <c r="A23" t="s">
        <v>294</v>
      </c>
      <c r="B23">
        <v>1</v>
      </c>
      <c r="C23">
        <v>0</v>
      </c>
      <c r="D23">
        <v>0</v>
      </c>
      <c r="E23">
        <v>0.20300000000000001</v>
      </c>
      <c r="F23" s="6">
        <v>0</v>
      </c>
      <c r="G23" s="6">
        <v>0</v>
      </c>
      <c r="H23">
        <v>33</v>
      </c>
      <c r="N23" s="5"/>
      <c r="O23" s="5"/>
      <c r="P23" s="5"/>
    </row>
    <row r="24" spans="1:16" x14ac:dyDescent="0.25">
      <c r="A24" t="s">
        <v>295</v>
      </c>
      <c r="B24">
        <v>1</v>
      </c>
      <c r="C24">
        <v>0</v>
      </c>
      <c r="D24">
        <v>0</v>
      </c>
      <c r="E24">
        <v>0.20300000000000001</v>
      </c>
      <c r="F24" s="6">
        <v>0</v>
      </c>
      <c r="G24" s="6">
        <v>0</v>
      </c>
      <c r="H24">
        <v>34</v>
      </c>
      <c r="N24" s="5"/>
      <c r="O24" s="5"/>
      <c r="P24" s="5"/>
    </row>
    <row r="25" spans="1:16" x14ac:dyDescent="0.25">
      <c r="A25" t="s">
        <v>296</v>
      </c>
      <c r="B25">
        <v>0.8</v>
      </c>
      <c r="C25">
        <v>0.8</v>
      </c>
      <c r="D25">
        <v>0.8</v>
      </c>
      <c r="E25">
        <v>0.16200000000000001</v>
      </c>
      <c r="F25">
        <v>0.16200000000000001</v>
      </c>
      <c r="G25">
        <v>0.16200000000000001</v>
      </c>
      <c r="H25">
        <v>37</v>
      </c>
      <c r="N25" s="5"/>
      <c r="O25" s="5"/>
      <c r="P25" s="5"/>
    </row>
    <row r="26" spans="1:16" x14ac:dyDescent="0.25">
      <c r="A26" t="s">
        <v>297</v>
      </c>
      <c r="B26">
        <v>0.8</v>
      </c>
      <c r="C26">
        <v>0.8</v>
      </c>
      <c r="D26">
        <v>0.8</v>
      </c>
      <c r="E26">
        <v>0.16200000000000001</v>
      </c>
      <c r="F26">
        <v>0.16200000000000001</v>
      </c>
      <c r="G26">
        <v>0.16200000000000001</v>
      </c>
      <c r="H26">
        <v>39</v>
      </c>
      <c r="N26" s="5"/>
      <c r="O26" s="5"/>
      <c r="P26" s="5"/>
    </row>
    <row r="27" spans="1:16" x14ac:dyDescent="0.25">
      <c r="A27" t="s">
        <v>298</v>
      </c>
      <c r="B27">
        <v>0</v>
      </c>
      <c r="C27">
        <v>1</v>
      </c>
      <c r="D27">
        <v>0</v>
      </c>
      <c r="E27" s="6">
        <v>0</v>
      </c>
      <c r="F27">
        <v>0.20300000000000001</v>
      </c>
      <c r="G27" s="6">
        <v>0</v>
      </c>
      <c r="H27">
        <v>40</v>
      </c>
      <c r="N27" s="5"/>
      <c r="O27" s="5"/>
      <c r="P27" s="5"/>
    </row>
    <row r="28" spans="1:16" x14ac:dyDescent="0.25">
      <c r="A28" t="s">
        <v>299</v>
      </c>
      <c r="B28">
        <v>0.8</v>
      </c>
      <c r="C28">
        <v>0.8</v>
      </c>
      <c r="D28">
        <v>0.8</v>
      </c>
      <c r="E28">
        <v>0.16200000000000001</v>
      </c>
      <c r="F28">
        <v>0.16200000000000001</v>
      </c>
      <c r="G28">
        <v>0.16200000000000001</v>
      </c>
      <c r="H28">
        <v>42</v>
      </c>
      <c r="N28" s="5"/>
      <c r="O28" s="5"/>
      <c r="P28" s="5"/>
    </row>
    <row r="29" spans="1:16" x14ac:dyDescent="0.25">
      <c r="A29" t="s">
        <v>300</v>
      </c>
      <c r="B29">
        <v>0</v>
      </c>
      <c r="C29">
        <v>1</v>
      </c>
      <c r="D29">
        <v>0</v>
      </c>
      <c r="E29" s="6">
        <v>0</v>
      </c>
      <c r="F29">
        <v>0.20300000000000001</v>
      </c>
      <c r="G29" s="6">
        <v>0</v>
      </c>
      <c r="H29">
        <v>45</v>
      </c>
      <c r="N29" s="5"/>
      <c r="O29" s="5"/>
      <c r="P29" s="5"/>
    </row>
    <row r="30" spans="1:16" x14ac:dyDescent="0.25">
      <c r="A30" t="s">
        <v>301</v>
      </c>
      <c r="B30">
        <v>0.8</v>
      </c>
      <c r="C30">
        <v>0.8</v>
      </c>
      <c r="D30">
        <v>0.8</v>
      </c>
      <c r="E30">
        <v>0.16200000000000001</v>
      </c>
      <c r="F30">
        <v>0.16200000000000001</v>
      </c>
      <c r="G30">
        <v>0.16200000000000001</v>
      </c>
      <c r="H30">
        <v>46</v>
      </c>
      <c r="N30" s="5"/>
      <c r="O30" s="5"/>
      <c r="P30" s="5"/>
    </row>
    <row r="31" spans="1:16" x14ac:dyDescent="0.25">
      <c r="A31" t="s">
        <v>302</v>
      </c>
      <c r="B31">
        <v>0</v>
      </c>
      <c r="C31">
        <v>1</v>
      </c>
      <c r="D31">
        <v>0</v>
      </c>
      <c r="E31" s="6">
        <v>0</v>
      </c>
      <c r="F31">
        <v>0.20300000000000001</v>
      </c>
      <c r="G31" s="6">
        <v>0</v>
      </c>
      <c r="H31">
        <v>47</v>
      </c>
      <c r="N31" s="5"/>
      <c r="O31" s="5"/>
      <c r="P31" s="5"/>
    </row>
    <row r="32" spans="1:16" x14ac:dyDescent="0.25">
      <c r="A32" t="s">
        <v>303</v>
      </c>
      <c r="B32">
        <v>1</v>
      </c>
      <c r="C32">
        <v>0</v>
      </c>
      <c r="D32">
        <v>0</v>
      </c>
      <c r="E32">
        <v>0.20300000000000001</v>
      </c>
      <c r="F32" s="6">
        <v>0</v>
      </c>
      <c r="G32" s="6">
        <v>0</v>
      </c>
      <c r="H32">
        <v>49</v>
      </c>
      <c r="N32" s="5"/>
      <c r="O32" s="5"/>
      <c r="P32" s="5"/>
    </row>
    <row r="33" spans="1:16" x14ac:dyDescent="0.25">
      <c r="A33" t="s">
        <v>283</v>
      </c>
      <c r="B33">
        <v>0</v>
      </c>
      <c r="C33">
        <v>1</v>
      </c>
      <c r="D33">
        <v>0</v>
      </c>
      <c r="E33" s="6">
        <v>0</v>
      </c>
      <c r="F33">
        <v>0.20300000000000001</v>
      </c>
      <c r="G33" s="6">
        <v>0</v>
      </c>
      <c r="H33">
        <v>5</v>
      </c>
      <c r="N33" s="5"/>
      <c r="O33" s="5"/>
      <c r="P33" s="5"/>
    </row>
    <row r="34" spans="1:16" x14ac:dyDescent="0.25">
      <c r="A34" t="s">
        <v>304</v>
      </c>
      <c r="B34">
        <v>0.8</v>
      </c>
      <c r="C34">
        <v>0.8</v>
      </c>
      <c r="D34">
        <v>0.8</v>
      </c>
      <c r="E34">
        <v>0.16200000000000001</v>
      </c>
      <c r="F34">
        <v>0.16200000000000001</v>
      </c>
      <c r="G34">
        <v>0.16200000000000001</v>
      </c>
      <c r="H34">
        <v>50</v>
      </c>
      <c r="N34" s="5"/>
      <c r="O34" s="5"/>
      <c r="P34" s="5"/>
    </row>
    <row r="35" spans="1:16" x14ac:dyDescent="0.25">
      <c r="A35" t="s">
        <v>305</v>
      </c>
      <c r="B35">
        <v>0</v>
      </c>
      <c r="C35">
        <v>1</v>
      </c>
      <c r="D35">
        <v>0</v>
      </c>
      <c r="E35" s="6">
        <v>0</v>
      </c>
      <c r="F35">
        <v>0.20300000000000001</v>
      </c>
      <c r="G35" s="6">
        <v>0</v>
      </c>
      <c r="H35">
        <v>52</v>
      </c>
      <c r="N35" s="5"/>
      <c r="O35" s="5"/>
      <c r="P35" s="5"/>
    </row>
    <row r="36" spans="1:16" x14ac:dyDescent="0.25">
      <c r="A36" t="s">
        <v>306</v>
      </c>
      <c r="B36">
        <v>0.8</v>
      </c>
      <c r="C36">
        <v>0.8</v>
      </c>
      <c r="D36">
        <v>0.8</v>
      </c>
      <c r="E36">
        <v>0.16200000000000001</v>
      </c>
      <c r="F36">
        <v>0.16200000000000001</v>
      </c>
      <c r="G36">
        <v>0.16200000000000001</v>
      </c>
      <c r="H36">
        <v>54</v>
      </c>
      <c r="N36" s="5"/>
      <c r="O36" s="5"/>
      <c r="P36" s="5"/>
    </row>
    <row r="37" spans="1:16" x14ac:dyDescent="0.25">
      <c r="A37" t="s">
        <v>307</v>
      </c>
      <c r="B37">
        <v>0.8</v>
      </c>
      <c r="C37">
        <v>0.8</v>
      </c>
      <c r="D37">
        <v>0.8</v>
      </c>
      <c r="E37">
        <v>0.16200000000000001</v>
      </c>
      <c r="F37">
        <v>0.16200000000000001</v>
      </c>
      <c r="G37">
        <v>0.16200000000000001</v>
      </c>
      <c r="H37">
        <v>57</v>
      </c>
      <c r="N37" s="5"/>
      <c r="O37" s="5"/>
      <c r="P37" s="5"/>
    </row>
    <row r="38" spans="1:16" x14ac:dyDescent="0.25">
      <c r="A38" t="s">
        <v>308</v>
      </c>
      <c r="B38">
        <v>0.8</v>
      </c>
      <c r="C38">
        <v>0.8</v>
      </c>
      <c r="D38">
        <v>0.8</v>
      </c>
      <c r="E38">
        <v>0.16200000000000001</v>
      </c>
      <c r="F38">
        <v>0.16200000000000001</v>
      </c>
      <c r="G38">
        <v>0.16200000000000001</v>
      </c>
      <c r="H38">
        <v>60</v>
      </c>
      <c r="N38" s="5"/>
      <c r="O38" s="5"/>
      <c r="P38" s="5"/>
    </row>
    <row r="39" spans="1:16" x14ac:dyDescent="0.25">
      <c r="A39" t="s">
        <v>309</v>
      </c>
      <c r="B39">
        <v>0</v>
      </c>
      <c r="C39">
        <v>1</v>
      </c>
      <c r="D39">
        <v>0</v>
      </c>
      <c r="E39" s="6">
        <v>0</v>
      </c>
      <c r="F39">
        <v>0.20300000000000001</v>
      </c>
      <c r="G39" s="6">
        <v>0</v>
      </c>
      <c r="H39">
        <v>62</v>
      </c>
      <c r="N39" s="5"/>
      <c r="O39" s="5"/>
      <c r="P39" s="5"/>
    </row>
    <row r="40" spans="1:16" x14ac:dyDescent="0.25">
      <c r="A40" t="s">
        <v>310</v>
      </c>
      <c r="B40">
        <v>0</v>
      </c>
      <c r="C40">
        <v>1</v>
      </c>
      <c r="D40">
        <v>0</v>
      </c>
      <c r="E40" s="6">
        <v>0</v>
      </c>
      <c r="F40">
        <v>0.20300000000000001</v>
      </c>
      <c r="G40" s="6">
        <v>0</v>
      </c>
      <c r="H40">
        <v>64</v>
      </c>
      <c r="N40" s="5"/>
      <c r="O40" s="5"/>
      <c r="P40" s="5"/>
    </row>
    <row r="41" spans="1:16" x14ac:dyDescent="0.25">
      <c r="A41" t="s">
        <v>311</v>
      </c>
      <c r="B41">
        <v>0</v>
      </c>
      <c r="C41">
        <v>1</v>
      </c>
      <c r="D41">
        <v>0</v>
      </c>
      <c r="E41" s="6">
        <v>0</v>
      </c>
      <c r="F41">
        <v>0.20300000000000001</v>
      </c>
      <c r="G41" s="6">
        <v>0</v>
      </c>
      <c r="H41">
        <v>66</v>
      </c>
      <c r="N41" s="5"/>
      <c r="O41" s="5"/>
      <c r="P41" s="5"/>
    </row>
    <row r="42" spans="1:16" x14ac:dyDescent="0.25">
      <c r="A42" t="s">
        <v>312</v>
      </c>
      <c r="B42">
        <v>1</v>
      </c>
      <c r="C42">
        <v>0</v>
      </c>
      <c r="D42">
        <v>0</v>
      </c>
      <c r="E42">
        <v>0.20300000000000001</v>
      </c>
      <c r="F42" s="6">
        <v>0</v>
      </c>
      <c r="G42" s="6">
        <v>0</v>
      </c>
      <c r="H42">
        <v>67</v>
      </c>
      <c r="N42" s="5"/>
      <c r="O42" s="5"/>
      <c r="P42" s="5"/>
    </row>
    <row r="43" spans="1:16" x14ac:dyDescent="0.25">
      <c r="A43" t="s">
        <v>284</v>
      </c>
      <c r="B43">
        <v>1</v>
      </c>
      <c r="C43">
        <v>0</v>
      </c>
      <c r="D43">
        <v>0</v>
      </c>
      <c r="E43">
        <v>0.20300000000000001</v>
      </c>
      <c r="F43" s="6">
        <v>0</v>
      </c>
      <c r="G43" s="6">
        <v>0</v>
      </c>
      <c r="H43">
        <v>7</v>
      </c>
      <c r="N43" s="5"/>
      <c r="O43" s="5"/>
      <c r="P43" s="5"/>
    </row>
    <row r="44" spans="1:16" x14ac:dyDescent="0.25">
      <c r="A44" t="s">
        <v>313</v>
      </c>
      <c r="B44">
        <v>0.8</v>
      </c>
      <c r="C44">
        <v>0.8</v>
      </c>
      <c r="D44">
        <v>0.8</v>
      </c>
      <c r="E44">
        <v>0.16200000000000001</v>
      </c>
      <c r="F44">
        <v>0.16200000000000001</v>
      </c>
      <c r="G44">
        <v>0.16200000000000001</v>
      </c>
      <c r="H44">
        <v>72</v>
      </c>
      <c r="N44" s="5"/>
      <c r="O44" s="5"/>
      <c r="P44" s="5"/>
    </row>
    <row r="45" spans="1:16" x14ac:dyDescent="0.25">
      <c r="A45" t="s">
        <v>314</v>
      </c>
      <c r="B45">
        <v>0.8</v>
      </c>
      <c r="C45">
        <v>0.8</v>
      </c>
      <c r="D45">
        <v>0.8</v>
      </c>
      <c r="E45">
        <v>0.16200000000000001</v>
      </c>
      <c r="F45">
        <v>0.16200000000000001</v>
      </c>
      <c r="G45">
        <v>0.16200000000000001</v>
      </c>
      <c r="H45">
        <v>73</v>
      </c>
      <c r="N45" s="5"/>
      <c r="O45" s="5"/>
      <c r="P45" s="5"/>
    </row>
    <row r="46" spans="1:16" x14ac:dyDescent="0.25">
      <c r="A46" t="s">
        <v>315</v>
      </c>
      <c r="B46">
        <v>0.8</v>
      </c>
      <c r="C46">
        <v>0.8</v>
      </c>
      <c r="D46">
        <v>0.8</v>
      </c>
      <c r="E46">
        <v>0.16200000000000001</v>
      </c>
      <c r="F46">
        <v>0.16200000000000001</v>
      </c>
      <c r="G46">
        <v>0.16200000000000001</v>
      </c>
      <c r="H46">
        <v>75</v>
      </c>
      <c r="N46" s="5"/>
      <c r="O46" s="5"/>
      <c r="P46" s="5"/>
    </row>
    <row r="47" spans="1:16" x14ac:dyDescent="0.25">
      <c r="A47" t="s">
        <v>316</v>
      </c>
      <c r="B47">
        <v>0</v>
      </c>
      <c r="C47">
        <v>1</v>
      </c>
      <c r="D47">
        <v>0</v>
      </c>
      <c r="E47" s="6">
        <v>0</v>
      </c>
      <c r="F47">
        <v>0.20300000000000001</v>
      </c>
      <c r="G47" s="6">
        <v>0</v>
      </c>
      <c r="H47">
        <v>76</v>
      </c>
      <c r="N47" s="5"/>
      <c r="O47" s="5"/>
      <c r="P47" s="5"/>
    </row>
    <row r="48" spans="1:16" x14ac:dyDescent="0.25">
      <c r="A48" t="s">
        <v>317</v>
      </c>
      <c r="B48">
        <v>1</v>
      </c>
      <c r="C48">
        <v>0</v>
      </c>
      <c r="D48">
        <v>0</v>
      </c>
      <c r="E48">
        <v>0.20300000000000001</v>
      </c>
      <c r="F48" s="6">
        <v>0</v>
      </c>
      <c r="G48" s="6">
        <v>0</v>
      </c>
      <c r="H48">
        <v>77</v>
      </c>
      <c r="N48" s="5"/>
      <c r="O48" s="5"/>
      <c r="P48" s="5"/>
    </row>
    <row r="49" spans="1:16" x14ac:dyDescent="0.25">
      <c r="A49" t="s">
        <v>318</v>
      </c>
      <c r="B49">
        <v>0.8</v>
      </c>
      <c r="C49">
        <v>0.8</v>
      </c>
      <c r="D49">
        <v>0.8</v>
      </c>
      <c r="E49">
        <v>0.16200000000000001</v>
      </c>
      <c r="F49">
        <v>0.16200000000000001</v>
      </c>
      <c r="G49">
        <v>0.16200000000000001</v>
      </c>
      <c r="H49">
        <v>80</v>
      </c>
      <c r="N49" s="5"/>
      <c r="O49" s="5"/>
      <c r="P49" s="5"/>
    </row>
    <row r="50" spans="1:16" x14ac:dyDescent="0.25">
      <c r="A50" t="s">
        <v>319</v>
      </c>
      <c r="B50">
        <v>0</v>
      </c>
      <c r="C50">
        <v>1</v>
      </c>
      <c r="D50">
        <v>0</v>
      </c>
      <c r="E50" s="6">
        <v>0</v>
      </c>
      <c r="F50">
        <v>0.20300000000000001</v>
      </c>
      <c r="G50" s="6">
        <v>0</v>
      </c>
      <c r="H50">
        <v>81</v>
      </c>
      <c r="N50" s="5"/>
      <c r="O50" s="5"/>
      <c r="P50" s="5"/>
    </row>
    <row r="51" spans="1:16" x14ac:dyDescent="0.25">
      <c r="A51" t="s">
        <v>320</v>
      </c>
      <c r="B51">
        <v>0</v>
      </c>
      <c r="C51">
        <v>1</v>
      </c>
      <c r="D51">
        <v>0</v>
      </c>
      <c r="E51" s="6">
        <v>0</v>
      </c>
      <c r="F51">
        <v>0.20300000000000001</v>
      </c>
      <c r="G51" s="6">
        <v>0</v>
      </c>
      <c r="H51">
        <v>83</v>
      </c>
      <c r="N51" s="5"/>
      <c r="O51" s="5"/>
      <c r="P51" s="5"/>
    </row>
    <row r="52" spans="1:16" x14ac:dyDescent="0.25">
      <c r="A52" t="s">
        <v>321</v>
      </c>
      <c r="B52">
        <v>0.8</v>
      </c>
      <c r="C52">
        <v>0.8</v>
      </c>
      <c r="D52">
        <v>0.8</v>
      </c>
      <c r="E52">
        <v>0.16200000000000001</v>
      </c>
      <c r="F52">
        <v>0.16200000000000001</v>
      </c>
      <c r="G52">
        <v>0.16200000000000001</v>
      </c>
      <c r="H52">
        <v>87</v>
      </c>
      <c r="N52" s="5"/>
      <c r="O52" s="5"/>
      <c r="P52" s="5"/>
    </row>
    <row r="53" spans="1:16" x14ac:dyDescent="0.25">
      <c r="A53" t="s">
        <v>322</v>
      </c>
      <c r="B53">
        <v>0</v>
      </c>
      <c r="C53">
        <v>1</v>
      </c>
      <c r="D53">
        <v>0</v>
      </c>
      <c r="E53" s="6">
        <v>0</v>
      </c>
      <c r="F53">
        <v>0.20300000000000001</v>
      </c>
      <c r="G53" s="6">
        <v>0</v>
      </c>
      <c r="H53">
        <v>88</v>
      </c>
      <c r="N53" s="5"/>
      <c r="O53" s="5"/>
      <c r="P53" s="5"/>
    </row>
    <row r="54" spans="1:16" x14ac:dyDescent="0.25">
      <c r="A54" t="s">
        <v>323</v>
      </c>
      <c r="B54">
        <v>0.8</v>
      </c>
      <c r="C54">
        <v>0.8</v>
      </c>
      <c r="D54">
        <v>0.8</v>
      </c>
      <c r="E54">
        <v>0.16200000000000001</v>
      </c>
      <c r="F54">
        <v>0.16200000000000001</v>
      </c>
      <c r="G54">
        <v>0.16200000000000001</v>
      </c>
      <c r="H54">
        <v>93</v>
      </c>
      <c r="N54" s="5"/>
      <c r="O54" s="5"/>
      <c r="P54" s="5"/>
    </row>
    <row r="55" spans="1:16" x14ac:dyDescent="0.25">
      <c r="A55" t="s">
        <v>324</v>
      </c>
      <c r="B55">
        <v>1</v>
      </c>
      <c r="C55">
        <v>0</v>
      </c>
      <c r="D55">
        <v>0</v>
      </c>
      <c r="E55">
        <v>0.20300000000000001</v>
      </c>
      <c r="F55" s="6">
        <v>0</v>
      </c>
      <c r="G55" s="6">
        <v>0</v>
      </c>
      <c r="H55">
        <v>95</v>
      </c>
      <c r="N55" s="5"/>
      <c r="O55" s="5"/>
      <c r="P55" s="5"/>
    </row>
    <row r="56" spans="1:16" x14ac:dyDescent="0.25">
      <c r="A56" t="s">
        <v>325</v>
      </c>
      <c r="B56">
        <v>0.8</v>
      </c>
      <c r="C56">
        <v>0.8</v>
      </c>
      <c r="D56">
        <v>0.8</v>
      </c>
      <c r="E56">
        <v>0.16200000000000001</v>
      </c>
      <c r="F56">
        <v>0.16200000000000001</v>
      </c>
      <c r="G56">
        <v>0.16200000000000001</v>
      </c>
      <c r="H56">
        <v>96</v>
      </c>
      <c r="N56" s="5"/>
      <c r="O56" s="5"/>
      <c r="P56" s="5"/>
    </row>
    <row r="57" spans="1:16" x14ac:dyDescent="0.25">
      <c r="A57" t="s">
        <v>326</v>
      </c>
      <c r="B57">
        <v>1</v>
      </c>
      <c r="C57">
        <v>0</v>
      </c>
      <c r="D57">
        <v>0</v>
      </c>
      <c r="E57">
        <v>0.20300000000000001</v>
      </c>
      <c r="F57" s="6">
        <v>0</v>
      </c>
      <c r="G57" s="6">
        <v>0</v>
      </c>
      <c r="H57">
        <v>97</v>
      </c>
      <c r="N57" s="5"/>
      <c r="O57" s="5"/>
      <c r="P57" s="5"/>
    </row>
    <row r="59" spans="1:16" x14ac:dyDescent="0.25">
      <c r="B59">
        <f>SUM(B3:B57)</f>
        <v>30.000000000000011</v>
      </c>
      <c r="C59">
        <f t="shared" ref="C59:D59" si="0">SUM(C3:C57)</f>
        <v>39.999999999999993</v>
      </c>
      <c r="D59">
        <f t="shared" si="0"/>
        <v>20.000000000000007</v>
      </c>
      <c r="E59">
        <f>SUM(E3:E57)</f>
        <v>6.0799999999999992</v>
      </c>
      <c r="F59">
        <f t="shared" ref="F59:G59" si="1">SUM(F3:F57)</f>
        <v>8.1100000000000012</v>
      </c>
      <c r="G59">
        <f t="shared" si="1"/>
        <v>4.0499999999999989</v>
      </c>
    </row>
    <row r="60" spans="1:16" x14ac:dyDescent="0.25">
      <c r="D60">
        <f>SUM(B59:D59)</f>
        <v>90</v>
      </c>
      <c r="G60">
        <f>SUM(E59:G59)</f>
        <v>18.240000000000002</v>
      </c>
    </row>
  </sheetData>
  <sortState xmlns:xlrd2="http://schemas.microsoft.com/office/spreadsheetml/2017/richdata2" ref="A3:G57">
    <sortCondition ref="A3:A57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C4B33F-E210-4AAC-9797-75DE210FFB33}">
  <dimension ref="A1:R169"/>
  <sheetViews>
    <sheetView topLeftCell="A145" workbookViewId="0">
      <selection activeCell="F170" sqref="F170"/>
    </sheetView>
  </sheetViews>
  <sheetFormatPr defaultRowHeight="15" x14ac:dyDescent="0.25"/>
  <cols>
    <col min="4" max="8" width="11.42578125" customWidth="1"/>
    <col min="9" max="9" width="16.140625" customWidth="1"/>
    <col min="10" max="15" width="11.42578125" customWidth="1"/>
  </cols>
  <sheetData>
    <row r="1" spans="1:18" x14ac:dyDescent="0.25">
      <c r="A1" s="1" t="s">
        <v>0</v>
      </c>
      <c r="B1" s="1" t="s">
        <v>1</v>
      </c>
      <c r="C1" s="1" t="s">
        <v>2</v>
      </c>
      <c r="D1" s="11" t="s">
        <v>550</v>
      </c>
      <c r="E1" s="9" t="s">
        <v>564</v>
      </c>
      <c r="F1" s="12" t="s">
        <v>565</v>
      </c>
      <c r="G1" s="1"/>
      <c r="H1" s="1"/>
      <c r="I1" t="s">
        <v>385</v>
      </c>
      <c r="J1" t="s">
        <v>384</v>
      </c>
      <c r="K1" s="1"/>
      <c r="L1" s="1"/>
      <c r="M1" s="1"/>
      <c r="N1" s="1"/>
      <c r="O1" s="1"/>
      <c r="P1" s="1" t="s">
        <v>373</v>
      </c>
      <c r="Q1" s="1" t="s">
        <v>374</v>
      </c>
      <c r="R1" s="1" t="s">
        <v>375</v>
      </c>
    </row>
    <row r="2" spans="1:18" x14ac:dyDescent="0.25">
      <c r="A2" s="1" t="s">
        <v>532</v>
      </c>
      <c r="B2" s="1" t="s">
        <v>348</v>
      </c>
      <c r="C2" s="1" t="s">
        <v>367</v>
      </c>
      <c r="D2" s="11"/>
      <c r="E2" t="s">
        <v>566</v>
      </c>
      <c r="F2" s="12"/>
      <c r="G2" s="1"/>
      <c r="H2" s="1"/>
      <c r="I2" t="s">
        <v>558</v>
      </c>
      <c r="J2" t="s">
        <v>370</v>
      </c>
      <c r="K2" s="1"/>
      <c r="L2" s="1"/>
      <c r="M2" s="1"/>
      <c r="N2" s="1"/>
      <c r="O2" s="1"/>
      <c r="P2">
        <v>5</v>
      </c>
      <c r="Q2" t="s">
        <v>372</v>
      </c>
      <c r="R2">
        <v>10</v>
      </c>
    </row>
    <row r="3" spans="1:18" x14ac:dyDescent="0.25">
      <c r="A3" t="s">
        <v>250</v>
      </c>
      <c r="B3" s="13">
        <v>0</v>
      </c>
      <c r="C3" t="s">
        <v>3</v>
      </c>
      <c r="D3">
        <v>102</v>
      </c>
      <c r="E3">
        <v>10</v>
      </c>
      <c r="F3" t="s">
        <v>567</v>
      </c>
      <c r="I3" s="8" t="s">
        <v>552</v>
      </c>
      <c r="J3" t="s">
        <v>551</v>
      </c>
      <c r="P3">
        <v>7</v>
      </c>
      <c r="Q3" t="s">
        <v>372</v>
      </c>
      <c r="R3">
        <v>10</v>
      </c>
    </row>
    <row r="4" spans="1:18" x14ac:dyDescent="0.25">
      <c r="A4" t="s">
        <v>251</v>
      </c>
      <c r="B4" s="13">
        <v>0</v>
      </c>
      <c r="C4" t="s">
        <v>3</v>
      </c>
      <c r="D4">
        <v>102</v>
      </c>
      <c r="E4">
        <v>10</v>
      </c>
      <c r="F4" t="s">
        <v>568</v>
      </c>
      <c r="I4" s="8" t="s">
        <v>554</v>
      </c>
      <c r="J4" t="s">
        <v>553</v>
      </c>
      <c r="P4">
        <v>13</v>
      </c>
      <c r="Q4" t="s">
        <v>372</v>
      </c>
      <c r="R4">
        <v>10</v>
      </c>
    </row>
    <row r="5" spans="1:18" x14ac:dyDescent="0.25">
      <c r="A5" t="s">
        <v>252</v>
      </c>
      <c r="B5" s="13">
        <v>0</v>
      </c>
      <c r="C5" t="s">
        <v>3</v>
      </c>
      <c r="D5">
        <v>102</v>
      </c>
      <c r="E5">
        <v>10</v>
      </c>
      <c r="F5" t="s">
        <v>569</v>
      </c>
      <c r="I5" t="s">
        <v>556</v>
      </c>
      <c r="J5" t="s">
        <v>555</v>
      </c>
      <c r="P5">
        <v>21</v>
      </c>
      <c r="Q5" t="s">
        <v>371</v>
      </c>
      <c r="R5" t="s">
        <v>350</v>
      </c>
    </row>
    <row r="6" spans="1:18" x14ac:dyDescent="0.25">
      <c r="A6" t="s">
        <v>253</v>
      </c>
      <c r="B6" s="13">
        <v>3.33</v>
      </c>
      <c r="C6" t="s">
        <v>3</v>
      </c>
      <c r="D6">
        <v>103</v>
      </c>
      <c r="E6">
        <v>10</v>
      </c>
      <c r="F6" t="s">
        <v>567</v>
      </c>
      <c r="P6">
        <v>26</v>
      </c>
      <c r="Q6" t="s">
        <v>372</v>
      </c>
      <c r="R6">
        <v>10</v>
      </c>
    </row>
    <row r="7" spans="1:18" x14ac:dyDescent="0.25">
      <c r="A7" t="s">
        <v>254</v>
      </c>
      <c r="B7" s="13">
        <v>3.33</v>
      </c>
      <c r="C7" t="s">
        <v>3</v>
      </c>
      <c r="D7">
        <v>103</v>
      </c>
      <c r="E7">
        <v>10</v>
      </c>
      <c r="F7" t="s">
        <v>568</v>
      </c>
      <c r="P7">
        <v>33</v>
      </c>
      <c r="Q7" t="s">
        <v>372</v>
      </c>
      <c r="R7">
        <v>10</v>
      </c>
    </row>
    <row r="8" spans="1:18" x14ac:dyDescent="0.25">
      <c r="A8" t="s">
        <v>255</v>
      </c>
      <c r="B8" s="13">
        <v>3.33</v>
      </c>
      <c r="C8" t="s">
        <v>3</v>
      </c>
      <c r="D8">
        <v>103</v>
      </c>
      <c r="E8">
        <v>10</v>
      </c>
      <c r="F8" t="s">
        <v>569</v>
      </c>
      <c r="P8">
        <v>37</v>
      </c>
      <c r="Q8" t="s">
        <v>372</v>
      </c>
      <c r="R8">
        <v>10</v>
      </c>
    </row>
    <row r="9" spans="1:18" x14ac:dyDescent="0.25">
      <c r="A9" t="s">
        <v>256</v>
      </c>
      <c r="B9" s="13">
        <v>3.33</v>
      </c>
      <c r="C9" t="s">
        <v>3</v>
      </c>
      <c r="D9">
        <v>104</v>
      </c>
      <c r="E9">
        <v>10</v>
      </c>
      <c r="F9" t="s">
        <v>567</v>
      </c>
      <c r="P9">
        <v>40</v>
      </c>
      <c r="Q9" t="s">
        <v>372</v>
      </c>
      <c r="R9">
        <v>10</v>
      </c>
    </row>
    <row r="10" spans="1:18" x14ac:dyDescent="0.25">
      <c r="A10" t="s">
        <v>257</v>
      </c>
      <c r="B10" s="13">
        <v>3.33</v>
      </c>
      <c r="C10" t="s">
        <v>3</v>
      </c>
      <c r="D10">
        <v>104</v>
      </c>
      <c r="E10">
        <v>10</v>
      </c>
      <c r="F10" t="s">
        <v>568</v>
      </c>
      <c r="P10">
        <v>46</v>
      </c>
      <c r="Q10" t="s">
        <v>372</v>
      </c>
      <c r="R10">
        <v>10</v>
      </c>
    </row>
    <row r="11" spans="1:18" x14ac:dyDescent="0.25">
      <c r="A11" t="s">
        <v>258</v>
      </c>
      <c r="B11" s="13">
        <v>3.33</v>
      </c>
      <c r="C11" t="s">
        <v>3</v>
      </c>
      <c r="D11">
        <v>104</v>
      </c>
      <c r="E11">
        <v>10</v>
      </c>
      <c r="F11" t="s">
        <v>569</v>
      </c>
      <c r="P11">
        <v>49</v>
      </c>
      <c r="Q11" t="s">
        <v>372</v>
      </c>
      <c r="R11">
        <v>10</v>
      </c>
    </row>
    <row r="12" spans="1:18" x14ac:dyDescent="0.25">
      <c r="A12" t="s">
        <v>259</v>
      </c>
      <c r="B12" s="13">
        <v>0</v>
      </c>
      <c r="C12" t="s">
        <v>3</v>
      </c>
      <c r="D12">
        <v>106</v>
      </c>
      <c r="E12">
        <v>10</v>
      </c>
      <c r="F12" t="s">
        <v>567</v>
      </c>
      <c r="P12">
        <v>50</v>
      </c>
      <c r="Q12" t="s">
        <v>371</v>
      </c>
      <c r="R12" t="s">
        <v>350</v>
      </c>
    </row>
    <row r="13" spans="1:18" x14ac:dyDescent="0.25">
      <c r="A13" t="s">
        <v>260</v>
      </c>
      <c r="B13" s="13">
        <v>0</v>
      </c>
      <c r="C13" t="s">
        <v>3</v>
      </c>
      <c r="D13">
        <v>106</v>
      </c>
      <c r="E13">
        <v>10</v>
      </c>
      <c r="F13" t="s">
        <v>568</v>
      </c>
      <c r="P13">
        <v>54</v>
      </c>
      <c r="Q13" t="s">
        <v>372</v>
      </c>
      <c r="R13">
        <v>10</v>
      </c>
    </row>
    <row r="14" spans="1:18" x14ac:dyDescent="0.25">
      <c r="A14" t="s">
        <v>261</v>
      </c>
      <c r="B14" s="13">
        <v>0</v>
      </c>
      <c r="C14" t="s">
        <v>3</v>
      </c>
      <c r="D14">
        <v>106</v>
      </c>
      <c r="E14">
        <v>10</v>
      </c>
      <c r="F14" t="s">
        <v>569</v>
      </c>
      <c r="P14">
        <v>60</v>
      </c>
      <c r="Q14" t="s">
        <v>372</v>
      </c>
      <c r="R14">
        <v>10</v>
      </c>
    </row>
    <row r="15" spans="1:18" x14ac:dyDescent="0.25">
      <c r="A15" t="s">
        <v>262</v>
      </c>
      <c r="B15" s="13">
        <v>3.33</v>
      </c>
      <c r="C15" t="s">
        <v>3</v>
      </c>
      <c r="D15">
        <v>107</v>
      </c>
      <c r="E15">
        <v>10</v>
      </c>
      <c r="F15" t="s">
        <v>567</v>
      </c>
      <c r="P15">
        <v>62</v>
      </c>
      <c r="Q15" t="s">
        <v>372</v>
      </c>
      <c r="R15">
        <v>10</v>
      </c>
    </row>
    <row r="16" spans="1:18" x14ac:dyDescent="0.25">
      <c r="A16" t="s">
        <v>263</v>
      </c>
      <c r="B16" s="13">
        <v>3.33</v>
      </c>
      <c r="C16" t="s">
        <v>3</v>
      </c>
      <c r="D16">
        <v>107</v>
      </c>
      <c r="E16">
        <v>10</v>
      </c>
      <c r="F16" t="s">
        <v>568</v>
      </c>
      <c r="P16">
        <v>66</v>
      </c>
      <c r="Q16" t="s">
        <v>372</v>
      </c>
      <c r="R16">
        <v>10</v>
      </c>
    </row>
    <row r="17" spans="1:18" x14ac:dyDescent="0.25">
      <c r="A17" t="s">
        <v>264</v>
      </c>
      <c r="B17" s="13">
        <v>3.33</v>
      </c>
      <c r="C17" t="s">
        <v>3</v>
      </c>
      <c r="D17">
        <v>107</v>
      </c>
      <c r="E17">
        <v>10</v>
      </c>
      <c r="F17" t="s">
        <v>569</v>
      </c>
      <c r="P17">
        <v>72</v>
      </c>
      <c r="Q17" t="s">
        <v>372</v>
      </c>
      <c r="R17">
        <v>10</v>
      </c>
    </row>
    <row r="18" spans="1:18" x14ac:dyDescent="0.25">
      <c r="A18" t="s">
        <v>124</v>
      </c>
      <c r="B18" s="13">
        <v>0</v>
      </c>
      <c r="C18" t="s">
        <v>3</v>
      </c>
      <c r="D18">
        <v>10</v>
      </c>
      <c r="E18">
        <v>10</v>
      </c>
      <c r="F18" t="s">
        <v>567</v>
      </c>
      <c r="P18">
        <v>73</v>
      </c>
      <c r="Q18" t="s">
        <v>371</v>
      </c>
      <c r="R18" t="s">
        <v>350</v>
      </c>
    </row>
    <row r="19" spans="1:18" x14ac:dyDescent="0.25">
      <c r="A19" t="s">
        <v>125</v>
      </c>
      <c r="B19" s="13">
        <v>0</v>
      </c>
      <c r="C19" t="s">
        <v>3</v>
      </c>
      <c r="D19">
        <v>10</v>
      </c>
      <c r="E19">
        <v>10</v>
      </c>
      <c r="F19" t="s">
        <v>568</v>
      </c>
      <c r="P19">
        <v>76</v>
      </c>
      <c r="Q19" t="s">
        <v>372</v>
      </c>
      <c r="R19">
        <v>10</v>
      </c>
    </row>
    <row r="20" spans="1:18" x14ac:dyDescent="0.25">
      <c r="A20" t="s">
        <v>126</v>
      </c>
      <c r="B20" s="13">
        <v>0</v>
      </c>
      <c r="C20" t="s">
        <v>3</v>
      </c>
      <c r="D20">
        <v>10</v>
      </c>
      <c r="E20">
        <v>10</v>
      </c>
      <c r="F20" t="s">
        <v>569</v>
      </c>
      <c r="P20">
        <v>80</v>
      </c>
      <c r="Q20" t="s">
        <v>372</v>
      </c>
      <c r="R20">
        <v>10</v>
      </c>
    </row>
    <row r="21" spans="1:18" x14ac:dyDescent="0.25">
      <c r="A21" t="s">
        <v>265</v>
      </c>
      <c r="B21" s="13">
        <v>0</v>
      </c>
      <c r="C21" t="s">
        <v>3</v>
      </c>
      <c r="D21">
        <v>110</v>
      </c>
      <c r="E21">
        <v>10</v>
      </c>
      <c r="F21" t="s">
        <v>567</v>
      </c>
      <c r="P21">
        <v>81</v>
      </c>
      <c r="Q21" t="s">
        <v>372</v>
      </c>
      <c r="R21">
        <v>10</v>
      </c>
    </row>
    <row r="22" spans="1:18" x14ac:dyDescent="0.25">
      <c r="A22" t="s">
        <v>266</v>
      </c>
      <c r="B22" s="13">
        <v>0</v>
      </c>
      <c r="C22" t="s">
        <v>3</v>
      </c>
      <c r="D22">
        <v>110</v>
      </c>
      <c r="E22">
        <v>10</v>
      </c>
      <c r="F22" t="s">
        <v>568</v>
      </c>
      <c r="P22">
        <v>87</v>
      </c>
      <c r="Q22" t="s">
        <v>372</v>
      </c>
      <c r="R22">
        <v>10</v>
      </c>
    </row>
    <row r="23" spans="1:18" x14ac:dyDescent="0.25">
      <c r="A23" t="s">
        <v>267</v>
      </c>
      <c r="B23" s="13">
        <v>0</v>
      </c>
      <c r="C23" t="s">
        <v>3</v>
      </c>
      <c r="D23">
        <v>110</v>
      </c>
      <c r="E23">
        <v>10</v>
      </c>
      <c r="F23" t="s">
        <v>569</v>
      </c>
      <c r="P23">
        <v>93</v>
      </c>
      <c r="Q23" t="s">
        <v>372</v>
      </c>
      <c r="R23">
        <v>10</v>
      </c>
    </row>
    <row r="24" spans="1:18" x14ac:dyDescent="0.25">
      <c r="A24" t="s">
        <v>268</v>
      </c>
      <c r="B24" s="13">
        <v>3.33</v>
      </c>
      <c r="C24" t="s">
        <v>3</v>
      </c>
      <c r="D24">
        <v>112</v>
      </c>
      <c r="E24">
        <v>10</v>
      </c>
      <c r="F24" t="s">
        <v>567</v>
      </c>
      <c r="P24">
        <v>95</v>
      </c>
      <c r="Q24" t="s">
        <v>371</v>
      </c>
      <c r="R24" t="s">
        <v>350</v>
      </c>
    </row>
    <row r="25" spans="1:18" x14ac:dyDescent="0.25">
      <c r="A25" t="s">
        <v>269</v>
      </c>
      <c r="B25" s="13">
        <v>3.33</v>
      </c>
      <c r="C25" t="s">
        <v>3</v>
      </c>
      <c r="D25">
        <v>112</v>
      </c>
      <c r="E25">
        <v>10</v>
      </c>
      <c r="F25" t="s">
        <v>568</v>
      </c>
      <c r="P25">
        <v>97</v>
      </c>
      <c r="Q25" t="s">
        <v>372</v>
      </c>
      <c r="R25">
        <v>10</v>
      </c>
    </row>
    <row r="26" spans="1:18" x14ac:dyDescent="0.25">
      <c r="A26" t="s">
        <v>270</v>
      </c>
      <c r="B26" s="13">
        <v>3.33</v>
      </c>
      <c r="C26" t="s">
        <v>3</v>
      </c>
      <c r="D26">
        <v>112</v>
      </c>
      <c r="E26">
        <v>10</v>
      </c>
      <c r="F26" t="s">
        <v>569</v>
      </c>
      <c r="P26">
        <v>103</v>
      </c>
      <c r="Q26" t="s">
        <v>372</v>
      </c>
      <c r="R26">
        <v>10</v>
      </c>
    </row>
    <row r="27" spans="1:18" x14ac:dyDescent="0.25">
      <c r="A27" t="s">
        <v>271</v>
      </c>
      <c r="B27" s="13">
        <v>0</v>
      </c>
      <c r="C27" t="s">
        <v>3</v>
      </c>
      <c r="D27">
        <v>113</v>
      </c>
      <c r="E27">
        <v>10</v>
      </c>
      <c r="F27" t="s">
        <v>567</v>
      </c>
      <c r="P27">
        <v>104</v>
      </c>
      <c r="Q27" t="s">
        <v>372</v>
      </c>
      <c r="R27">
        <v>10</v>
      </c>
    </row>
    <row r="28" spans="1:18" x14ac:dyDescent="0.25">
      <c r="A28" t="s">
        <v>272</v>
      </c>
      <c r="B28" s="13">
        <v>0</v>
      </c>
      <c r="C28" t="s">
        <v>3</v>
      </c>
      <c r="D28">
        <v>113</v>
      </c>
      <c r="E28">
        <v>10</v>
      </c>
      <c r="F28" t="s">
        <v>568</v>
      </c>
      <c r="P28">
        <v>107</v>
      </c>
      <c r="Q28" t="s">
        <v>372</v>
      </c>
      <c r="R28">
        <v>10</v>
      </c>
    </row>
    <row r="29" spans="1:18" x14ac:dyDescent="0.25">
      <c r="A29" t="s">
        <v>273</v>
      </c>
      <c r="B29" s="13">
        <v>3.68</v>
      </c>
      <c r="C29" t="s">
        <v>3</v>
      </c>
      <c r="D29">
        <v>113</v>
      </c>
      <c r="E29">
        <v>10</v>
      </c>
      <c r="F29" t="s">
        <v>569</v>
      </c>
      <c r="P29">
        <v>112</v>
      </c>
      <c r="Q29" t="s">
        <v>372</v>
      </c>
      <c r="R29">
        <v>10</v>
      </c>
    </row>
    <row r="30" spans="1:18" x14ac:dyDescent="0.25">
      <c r="A30" t="s">
        <v>274</v>
      </c>
      <c r="B30" s="13">
        <v>0</v>
      </c>
      <c r="C30" t="s">
        <v>3</v>
      </c>
      <c r="D30">
        <v>114</v>
      </c>
      <c r="E30">
        <v>10</v>
      </c>
      <c r="F30" t="s">
        <v>567</v>
      </c>
      <c r="P30">
        <v>113</v>
      </c>
      <c r="Q30" t="s">
        <v>371</v>
      </c>
      <c r="R30" t="s">
        <v>350</v>
      </c>
    </row>
    <row r="31" spans="1:18" x14ac:dyDescent="0.25">
      <c r="A31" t="s">
        <v>275</v>
      </c>
      <c r="B31" s="13">
        <v>0</v>
      </c>
      <c r="C31" t="s">
        <v>3</v>
      </c>
      <c r="D31">
        <v>114</v>
      </c>
      <c r="E31">
        <v>10</v>
      </c>
      <c r="F31" t="s">
        <v>568</v>
      </c>
      <c r="P31">
        <v>115</v>
      </c>
      <c r="Q31" t="s">
        <v>372</v>
      </c>
      <c r="R31">
        <v>10</v>
      </c>
    </row>
    <row r="32" spans="1:18" x14ac:dyDescent="0.25">
      <c r="A32" t="s">
        <v>276</v>
      </c>
      <c r="B32" s="13">
        <v>0</v>
      </c>
      <c r="C32" t="s">
        <v>3</v>
      </c>
      <c r="D32">
        <v>114</v>
      </c>
      <c r="E32">
        <v>10</v>
      </c>
      <c r="F32" t="s">
        <v>569</v>
      </c>
    </row>
    <row r="33" spans="1:6" x14ac:dyDescent="0.25">
      <c r="A33" t="s">
        <v>277</v>
      </c>
      <c r="B33" s="13">
        <v>3.33</v>
      </c>
      <c r="C33" t="s">
        <v>3</v>
      </c>
      <c r="D33">
        <v>115</v>
      </c>
      <c r="E33">
        <v>10</v>
      </c>
      <c r="F33" t="s">
        <v>567</v>
      </c>
    </row>
    <row r="34" spans="1:6" x14ac:dyDescent="0.25">
      <c r="A34" t="s">
        <v>278</v>
      </c>
      <c r="B34" s="13">
        <v>3.33</v>
      </c>
      <c r="C34" t="s">
        <v>3</v>
      </c>
      <c r="D34">
        <v>115</v>
      </c>
      <c r="E34">
        <v>10</v>
      </c>
      <c r="F34" t="s">
        <v>568</v>
      </c>
    </row>
    <row r="35" spans="1:6" x14ac:dyDescent="0.25">
      <c r="A35" t="s">
        <v>279</v>
      </c>
      <c r="B35" s="13">
        <v>3.33</v>
      </c>
      <c r="C35" t="s">
        <v>3</v>
      </c>
      <c r="D35">
        <v>115</v>
      </c>
      <c r="E35">
        <v>10</v>
      </c>
      <c r="F35" t="s">
        <v>569</v>
      </c>
    </row>
    <row r="36" spans="1:6" x14ac:dyDescent="0.25">
      <c r="A36" t="s">
        <v>280</v>
      </c>
      <c r="B36" s="13">
        <v>0</v>
      </c>
      <c r="C36" t="s">
        <v>3</v>
      </c>
      <c r="D36">
        <v>116</v>
      </c>
      <c r="E36">
        <v>10</v>
      </c>
      <c r="F36" t="s">
        <v>567</v>
      </c>
    </row>
    <row r="37" spans="1:6" x14ac:dyDescent="0.25">
      <c r="A37" t="s">
        <v>281</v>
      </c>
      <c r="B37" s="13">
        <v>0</v>
      </c>
      <c r="C37" t="s">
        <v>3</v>
      </c>
      <c r="D37">
        <v>116</v>
      </c>
      <c r="E37">
        <v>10</v>
      </c>
      <c r="F37" t="s">
        <v>568</v>
      </c>
    </row>
    <row r="38" spans="1:6" x14ac:dyDescent="0.25">
      <c r="A38" t="s">
        <v>282</v>
      </c>
      <c r="B38" s="13">
        <v>0</v>
      </c>
      <c r="C38" t="s">
        <v>3</v>
      </c>
      <c r="D38">
        <v>116</v>
      </c>
      <c r="E38">
        <v>10</v>
      </c>
      <c r="F38" t="s">
        <v>569</v>
      </c>
    </row>
    <row r="39" spans="1:6" x14ac:dyDescent="0.25">
      <c r="A39" t="s">
        <v>127</v>
      </c>
      <c r="B39" s="13">
        <v>0</v>
      </c>
      <c r="C39" t="s">
        <v>3</v>
      </c>
      <c r="D39">
        <v>11</v>
      </c>
      <c r="E39">
        <v>10</v>
      </c>
      <c r="F39" t="s">
        <v>567</v>
      </c>
    </row>
    <row r="40" spans="1:6" x14ac:dyDescent="0.25">
      <c r="A40" t="s">
        <v>128</v>
      </c>
      <c r="B40" s="13">
        <v>0</v>
      </c>
      <c r="C40" t="s">
        <v>3</v>
      </c>
      <c r="D40">
        <v>11</v>
      </c>
      <c r="E40">
        <v>10</v>
      </c>
      <c r="F40" t="s">
        <v>568</v>
      </c>
    </row>
    <row r="41" spans="1:6" x14ac:dyDescent="0.25">
      <c r="A41" t="s">
        <v>129</v>
      </c>
      <c r="B41" s="13">
        <v>0</v>
      </c>
      <c r="C41" t="s">
        <v>3</v>
      </c>
      <c r="D41">
        <v>11</v>
      </c>
      <c r="E41">
        <v>10</v>
      </c>
      <c r="F41" t="s">
        <v>569</v>
      </c>
    </row>
    <row r="42" spans="1:6" x14ac:dyDescent="0.25">
      <c r="A42" t="s">
        <v>130</v>
      </c>
      <c r="B42" s="13">
        <v>0</v>
      </c>
      <c r="C42" t="s">
        <v>3</v>
      </c>
      <c r="D42">
        <v>12</v>
      </c>
      <c r="E42">
        <v>10</v>
      </c>
      <c r="F42" t="s">
        <v>567</v>
      </c>
    </row>
    <row r="43" spans="1:6" x14ac:dyDescent="0.25">
      <c r="A43" t="s">
        <v>131</v>
      </c>
      <c r="B43" s="13">
        <v>0</v>
      </c>
      <c r="C43" t="s">
        <v>3</v>
      </c>
      <c r="D43">
        <v>12</v>
      </c>
      <c r="E43">
        <v>10</v>
      </c>
      <c r="F43" t="s">
        <v>568</v>
      </c>
    </row>
    <row r="44" spans="1:6" x14ac:dyDescent="0.25">
      <c r="A44" t="s">
        <v>132</v>
      </c>
      <c r="B44" s="13">
        <v>0</v>
      </c>
      <c r="C44" t="s">
        <v>3</v>
      </c>
      <c r="D44">
        <v>12</v>
      </c>
      <c r="E44">
        <v>10</v>
      </c>
      <c r="F44" t="s">
        <v>569</v>
      </c>
    </row>
    <row r="45" spans="1:6" x14ac:dyDescent="0.25">
      <c r="A45" t="s">
        <v>133</v>
      </c>
      <c r="B45" s="13">
        <v>3.33</v>
      </c>
      <c r="C45" t="s">
        <v>3</v>
      </c>
      <c r="D45">
        <v>13</v>
      </c>
      <c r="E45">
        <v>10</v>
      </c>
      <c r="F45" t="s">
        <v>567</v>
      </c>
    </row>
    <row r="46" spans="1:6" x14ac:dyDescent="0.25">
      <c r="A46" t="s">
        <v>134</v>
      </c>
      <c r="B46" s="13">
        <v>3.33</v>
      </c>
      <c r="C46" t="s">
        <v>3</v>
      </c>
      <c r="D46">
        <v>13</v>
      </c>
      <c r="E46">
        <v>10</v>
      </c>
      <c r="F46" t="s">
        <v>568</v>
      </c>
    </row>
    <row r="47" spans="1:6" x14ac:dyDescent="0.25">
      <c r="A47" t="s">
        <v>135</v>
      </c>
      <c r="B47" s="13">
        <v>3.33</v>
      </c>
      <c r="C47" t="s">
        <v>3</v>
      </c>
      <c r="D47">
        <v>13</v>
      </c>
      <c r="E47">
        <v>10</v>
      </c>
      <c r="F47" t="s">
        <v>569</v>
      </c>
    </row>
    <row r="48" spans="1:6" x14ac:dyDescent="0.25">
      <c r="A48" t="s">
        <v>136</v>
      </c>
      <c r="B48" s="13">
        <v>0</v>
      </c>
      <c r="C48" t="s">
        <v>3</v>
      </c>
      <c r="D48">
        <v>21</v>
      </c>
      <c r="E48">
        <v>10</v>
      </c>
      <c r="F48" t="s">
        <v>567</v>
      </c>
    </row>
    <row r="49" spans="1:6" x14ac:dyDescent="0.25">
      <c r="A49" t="s">
        <v>137</v>
      </c>
      <c r="B49" s="13">
        <v>0</v>
      </c>
      <c r="C49" t="s">
        <v>3</v>
      </c>
      <c r="D49">
        <v>21</v>
      </c>
      <c r="E49">
        <v>10</v>
      </c>
      <c r="F49" t="s">
        <v>568</v>
      </c>
    </row>
    <row r="50" spans="1:6" x14ac:dyDescent="0.25">
      <c r="A50" t="s">
        <v>138</v>
      </c>
      <c r="B50" s="13">
        <v>3.68</v>
      </c>
      <c r="C50" t="s">
        <v>3</v>
      </c>
      <c r="D50">
        <v>21</v>
      </c>
      <c r="E50">
        <v>10</v>
      </c>
      <c r="F50" t="s">
        <v>569</v>
      </c>
    </row>
    <row r="51" spans="1:6" x14ac:dyDescent="0.25">
      <c r="A51" t="s">
        <v>139</v>
      </c>
      <c r="B51" s="13">
        <v>0</v>
      </c>
      <c r="C51" t="s">
        <v>3</v>
      </c>
      <c r="D51">
        <v>25</v>
      </c>
      <c r="E51">
        <v>10</v>
      </c>
      <c r="F51" t="s">
        <v>567</v>
      </c>
    </row>
    <row r="52" spans="1:6" x14ac:dyDescent="0.25">
      <c r="A52" t="s">
        <v>140</v>
      </c>
      <c r="B52" s="13">
        <v>0</v>
      </c>
      <c r="C52" t="s">
        <v>3</v>
      </c>
      <c r="D52">
        <v>25</v>
      </c>
      <c r="E52">
        <v>10</v>
      </c>
      <c r="F52" t="s">
        <v>568</v>
      </c>
    </row>
    <row r="53" spans="1:6" x14ac:dyDescent="0.25">
      <c r="A53" t="s">
        <v>141</v>
      </c>
      <c r="B53" s="13">
        <v>0</v>
      </c>
      <c r="C53" t="s">
        <v>3</v>
      </c>
      <c r="D53">
        <v>25</v>
      </c>
      <c r="E53">
        <v>10</v>
      </c>
      <c r="F53" t="s">
        <v>569</v>
      </c>
    </row>
    <row r="54" spans="1:6" x14ac:dyDescent="0.25">
      <c r="A54" t="s">
        <v>142</v>
      </c>
      <c r="B54" s="13">
        <v>3.33</v>
      </c>
      <c r="C54" t="s">
        <v>3</v>
      </c>
      <c r="D54">
        <v>26</v>
      </c>
      <c r="E54">
        <v>10</v>
      </c>
      <c r="F54" t="s">
        <v>567</v>
      </c>
    </row>
    <row r="55" spans="1:6" x14ac:dyDescent="0.25">
      <c r="A55" t="s">
        <v>143</v>
      </c>
      <c r="B55" s="13">
        <v>3.33</v>
      </c>
      <c r="C55" t="s">
        <v>3</v>
      </c>
      <c r="D55">
        <v>26</v>
      </c>
      <c r="E55">
        <v>10</v>
      </c>
      <c r="F55" t="s">
        <v>568</v>
      </c>
    </row>
    <row r="56" spans="1:6" x14ac:dyDescent="0.25">
      <c r="A56" t="s">
        <v>144</v>
      </c>
      <c r="B56" s="13">
        <v>3.33</v>
      </c>
      <c r="C56" t="s">
        <v>3</v>
      </c>
      <c r="D56">
        <v>26</v>
      </c>
      <c r="E56">
        <v>10</v>
      </c>
      <c r="F56" t="s">
        <v>569</v>
      </c>
    </row>
    <row r="57" spans="1:6" x14ac:dyDescent="0.25">
      <c r="A57" t="s">
        <v>145</v>
      </c>
      <c r="B57" s="13">
        <v>0</v>
      </c>
      <c r="C57" t="s">
        <v>3</v>
      </c>
      <c r="D57">
        <v>29</v>
      </c>
      <c r="E57">
        <v>10</v>
      </c>
      <c r="F57" t="s">
        <v>567</v>
      </c>
    </row>
    <row r="58" spans="1:6" x14ac:dyDescent="0.25">
      <c r="A58" t="s">
        <v>146</v>
      </c>
      <c r="B58" s="13">
        <v>0</v>
      </c>
      <c r="C58" t="s">
        <v>3</v>
      </c>
      <c r="D58">
        <v>29</v>
      </c>
      <c r="E58">
        <v>10</v>
      </c>
      <c r="F58" t="s">
        <v>568</v>
      </c>
    </row>
    <row r="59" spans="1:6" x14ac:dyDescent="0.25">
      <c r="A59" t="s">
        <v>147</v>
      </c>
      <c r="B59" s="13">
        <v>0</v>
      </c>
      <c r="C59" t="s">
        <v>3</v>
      </c>
      <c r="D59">
        <v>29</v>
      </c>
      <c r="E59">
        <v>10</v>
      </c>
      <c r="F59" t="s">
        <v>569</v>
      </c>
    </row>
    <row r="60" spans="1:6" x14ac:dyDescent="0.25">
      <c r="A60" t="s">
        <v>148</v>
      </c>
      <c r="B60" s="13">
        <v>0</v>
      </c>
      <c r="C60" t="s">
        <v>3</v>
      </c>
      <c r="D60">
        <v>30</v>
      </c>
      <c r="E60">
        <v>10</v>
      </c>
      <c r="F60" t="s">
        <v>567</v>
      </c>
    </row>
    <row r="61" spans="1:6" x14ac:dyDescent="0.25">
      <c r="A61" t="s">
        <v>149</v>
      </c>
      <c r="B61" s="13">
        <v>0</v>
      </c>
      <c r="C61" t="s">
        <v>3</v>
      </c>
      <c r="D61">
        <v>30</v>
      </c>
      <c r="E61">
        <v>10</v>
      </c>
      <c r="F61" t="s">
        <v>568</v>
      </c>
    </row>
    <row r="62" spans="1:6" x14ac:dyDescent="0.25">
      <c r="A62" t="s">
        <v>150</v>
      </c>
      <c r="B62" s="13">
        <v>0</v>
      </c>
      <c r="C62" t="s">
        <v>3</v>
      </c>
      <c r="D62">
        <v>30</v>
      </c>
      <c r="E62">
        <v>10</v>
      </c>
      <c r="F62" t="s">
        <v>569</v>
      </c>
    </row>
    <row r="63" spans="1:6" x14ac:dyDescent="0.25">
      <c r="A63" t="s">
        <v>151</v>
      </c>
      <c r="B63" s="13">
        <v>3.33</v>
      </c>
      <c r="C63" t="s">
        <v>3</v>
      </c>
      <c r="D63">
        <v>33</v>
      </c>
      <c r="E63">
        <v>10</v>
      </c>
      <c r="F63" t="s">
        <v>567</v>
      </c>
    </row>
    <row r="64" spans="1:6" x14ac:dyDescent="0.25">
      <c r="A64" t="s">
        <v>152</v>
      </c>
      <c r="B64" s="13">
        <v>3.33</v>
      </c>
      <c r="C64" t="s">
        <v>3</v>
      </c>
      <c r="D64">
        <v>33</v>
      </c>
      <c r="E64">
        <v>10</v>
      </c>
      <c r="F64" t="s">
        <v>568</v>
      </c>
    </row>
    <row r="65" spans="1:6" x14ac:dyDescent="0.25">
      <c r="A65" t="s">
        <v>153</v>
      </c>
      <c r="B65" s="13">
        <v>3.33</v>
      </c>
      <c r="C65" t="s">
        <v>3</v>
      </c>
      <c r="D65">
        <v>33</v>
      </c>
      <c r="E65">
        <v>10</v>
      </c>
      <c r="F65" t="s">
        <v>569</v>
      </c>
    </row>
    <row r="66" spans="1:6" x14ac:dyDescent="0.25">
      <c r="A66" t="s">
        <v>154</v>
      </c>
      <c r="B66" s="13">
        <v>0</v>
      </c>
      <c r="C66" t="s">
        <v>3</v>
      </c>
      <c r="D66">
        <v>34</v>
      </c>
      <c r="E66">
        <v>10</v>
      </c>
      <c r="F66" t="s">
        <v>567</v>
      </c>
    </row>
    <row r="67" spans="1:6" x14ac:dyDescent="0.25">
      <c r="A67" t="s">
        <v>155</v>
      </c>
      <c r="B67" s="13">
        <v>0</v>
      </c>
      <c r="C67" t="s">
        <v>3</v>
      </c>
      <c r="D67">
        <v>34</v>
      </c>
      <c r="E67">
        <v>10</v>
      </c>
      <c r="F67" t="s">
        <v>568</v>
      </c>
    </row>
    <row r="68" spans="1:6" x14ac:dyDescent="0.25">
      <c r="A68" t="s">
        <v>156</v>
      </c>
      <c r="B68" s="13">
        <v>0</v>
      </c>
      <c r="C68" t="s">
        <v>3</v>
      </c>
      <c r="D68">
        <v>34</v>
      </c>
      <c r="E68">
        <v>10</v>
      </c>
      <c r="F68" t="s">
        <v>569</v>
      </c>
    </row>
    <row r="69" spans="1:6" x14ac:dyDescent="0.25">
      <c r="A69" t="s">
        <v>157</v>
      </c>
      <c r="B69" s="13">
        <v>3.33</v>
      </c>
      <c r="C69" t="s">
        <v>3</v>
      </c>
      <c r="D69">
        <v>37</v>
      </c>
      <c r="E69">
        <v>10</v>
      </c>
      <c r="F69" t="s">
        <v>567</v>
      </c>
    </row>
    <row r="70" spans="1:6" x14ac:dyDescent="0.25">
      <c r="A70" t="s">
        <v>158</v>
      </c>
      <c r="B70" s="13">
        <v>3.33</v>
      </c>
      <c r="C70" t="s">
        <v>3</v>
      </c>
      <c r="D70">
        <v>37</v>
      </c>
      <c r="E70">
        <v>10</v>
      </c>
      <c r="F70" t="s">
        <v>568</v>
      </c>
    </row>
    <row r="71" spans="1:6" x14ac:dyDescent="0.25">
      <c r="A71" t="s">
        <v>159</v>
      </c>
      <c r="B71" s="13">
        <v>3.33</v>
      </c>
      <c r="C71" t="s">
        <v>3</v>
      </c>
      <c r="D71">
        <v>37</v>
      </c>
      <c r="E71">
        <v>10</v>
      </c>
      <c r="F71" t="s">
        <v>569</v>
      </c>
    </row>
    <row r="72" spans="1:6" x14ac:dyDescent="0.25">
      <c r="A72" t="s">
        <v>160</v>
      </c>
      <c r="B72" s="13">
        <v>0</v>
      </c>
      <c r="C72" t="s">
        <v>3</v>
      </c>
      <c r="D72">
        <v>39</v>
      </c>
      <c r="E72">
        <v>10</v>
      </c>
      <c r="F72" t="s">
        <v>567</v>
      </c>
    </row>
    <row r="73" spans="1:6" x14ac:dyDescent="0.25">
      <c r="A73" t="s">
        <v>161</v>
      </c>
      <c r="B73" s="13">
        <v>0</v>
      </c>
      <c r="C73" t="s">
        <v>3</v>
      </c>
      <c r="D73">
        <v>39</v>
      </c>
      <c r="E73">
        <v>10</v>
      </c>
      <c r="F73" t="s">
        <v>568</v>
      </c>
    </row>
    <row r="74" spans="1:6" x14ac:dyDescent="0.25">
      <c r="A74" t="s">
        <v>162</v>
      </c>
      <c r="B74" s="13">
        <v>0</v>
      </c>
      <c r="C74" t="s">
        <v>3</v>
      </c>
      <c r="D74">
        <v>39</v>
      </c>
      <c r="E74">
        <v>10</v>
      </c>
      <c r="F74" t="s">
        <v>569</v>
      </c>
    </row>
    <row r="75" spans="1:6" x14ac:dyDescent="0.25">
      <c r="A75" t="s">
        <v>163</v>
      </c>
      <c r="B75" s="13">
        <v>3.33</v>
      </c>
      <c r="C75" t="s">
        <v>3</v>
      </c>
      <c r="D75">
        <v>40</v>
      </c>
      <c r="E75">
        <v>10</v>
      </c>
      <c r="F75" t="s">
        <v>567</v>
      </c>
    </row>
    <row r="76" spans="1:6" x14ac:dyDescent="0.25">
      <c r="A76" t="s">
        <v>164</v>
      </c>
      <c r="B76" s="13">
        <v>3.33</v>
      </c>
      <c r="C76" t="s">
        <v>3</v>
      </c>
      <c r="D76">
        <v>40</v>
      </c>
      <c r="E76">
        <v>10</v>
      </c>
      <c r="F76" t="s">
        <v>568</v>
      </c>
    </row>
    <row r="77" spans="1:6" x14ac:dyDescent="0.25">
      <c r="A77" t="s">
        <v>165</v>
      </c>
      <c r="B77" s="13">
        <v>3.33</v>
      </c>
      <c r="C77" t="s">
        <v>3</v>
      </c>
      <c r="D77">
        <v>40</v>
      </c>
      <c r="E77">
        <v>10</v>
      </c>
      <c r="F77" t="s">
        <v>569</v>
      </c>
    </row>
    <row r="78" spans="1:6" x14ac:dyDescent="0.25">
      <c r="A78" t="s">
        <v>166</v>
      </c>
      <c r="B78" s="13">
        <v>0</v>
      </c>
      <c r="C78" t="s">
        <v>3</v>
      </c>
      <c r="D78">
        <v>42</v>
      </c>
      <c r="E78">
        <v>10</v>
      </c>
      <c r="F78" t="s">
        <v>567</v>
      </c>
    </row>
    <row r="79" spans="1:6" x14ac:dyDescent="0.25">
      <c r="A79" t="s">
        <v>167</v>
      </c>
      <c r="B79" s="13">
        <v>0</v>
      </c>
      <c r="C79" t="s">
        <v>3</v>
      </c>
      <c r="D79">
        <v>42</v>
      </c>
      <c r="E79">
        <v>10</v>
      </c>
      <c r="F79" t="s">
        <v>568</v>
      </c>
    </row>
    <row r="80" spans="1:6" x14ac:dyDescent="0.25">
      <c r="A80" t="s">
        <v>168</v>
      </c>
      <c r="B80" s="13">
        <v>0</v>
      </c>
      <c r="C80" t="s">
        <v>3</v>
      </c>
      <c r="D80">
        <v>42</v>
      </c>
      <c r="E80">
        <v>10</v>
      </c>
      <c r="F80" t="s">
        <v>569</v>
      </c>
    </row>
    <row r="81" spans="1:6" x14ac:dyDescent="0.25">
      <c r="A81" t="s">
        <v>169</v>
      </c>
      <c r="B81" s="13">
        <v>0</v>
      </c>
      <c r="C81" t="s">
        <v>3</v>
      </c>
      <c r="D81">
        <v>45</v>
      </c>
      <c r="E81">
        <v>10</v>
      </c>
      <c r="F81" t="s">
        <v>567</v>
      </c>
    </row>
    <row r="82" spans="1:6" x14ac:dyDescent="0.25">
      <c r="A82" t="s">
        <v>170</v>
      </c>
      <c r="B82" s="13">
        <v>0</v>
      </c>
      <c r="C82" t="s">
        <v>3</v>
      </c>
      <c r="D82">
        <v>45</v>
      </c>
      <c r="E82">
        <v>10</v>
      </c>
      <c r="F82" t="s">
        <v>568</v>
      </c>
    </row>
    <row r="83" spans="1:6" x14ac:dyDescent="0.25">
      <c r="A83" t="s">
        <v>171</v>
      </c>
      <c r="B83" s="13">
        <v>0</v>
      </c>
      <c r="C83" t="s">
        <v>3</v>
      </c>
      <c r="D83">
        <v>45</v>
      </c>
      <c r="E83">
        <v>10</v>
      </c>
      <c r="F83" t="s">
        <v>569</v>
      </c>
    </row>
    <row r="84" spans="1:6" x14ac:dyDescent="0.25">
      <c r="A84" t="s">
        <v>172</v>
      </c>
      <c r="B84" s="13">
        <v>3.33</v>
      </c>
      <c r="C84" t="s">
        <v>3</v>
      </c>
      <c r="D84">
        <v>46</v>
      </c>
      <c r="E84">
        <v>10</v>
      </c>
      <c r="F84" t="s">
        <v>567</v>
      </c>
    </row>
    <row r="85" spans="1:6" x14ac:dyDescent="0.25">
      <c r="A85" t="s">
        <v>173</v>
      </c>
      <c r="B85" s="13">
        <v>3.33</v>
      </c>
      <c r="C85" t="s">
        <v>3</v>
      </c>
      <c r="D85">
        <v>46</v>
      </c>
      <c r="E85">
        <v>10</v>
      </c>
      <c r="F85" t="s">
        <v>568</v>
      </c>
    </row>
    <row r="86" spans="1:6" x14ac:dyDescent="0.25">
      <c r="A86" t="s">
        <v>174</v>
      </c>
      <c r="B86" s="13">
        <v>3.33</v>
      </c>
      <c r="C86" t="s">
        <v>3</v>
      </c>
      <c r="D86">
        <v>46</v>
      </c>
      <c r="E86">
        <v>10</v>
      </c>
      <c r="F86" t="s">
        <v>569</v>
      </c>
    </row>
    <row r="87" spans="1:6" x14ac:dyDescent="0.25">
      <c r="A87" t="s">
        <v>175</v>
      </c>
      <c r="B87" s="13">
        <v>0</v>
      </c>
      <c r="C87" t="s">
        <v>3</v>
      </c>
      <c r="D87">
        <v>47</v>
      </c>
      <c r="E87">
        <v>10</v>
      </c>
      <c r="F87" t="s">
        <v>567</v>
      </c>
    </row>
    <row r="88" spans="1:6" x14ac:dyDescent="0.25">
      <c r="A88" t="s">
        <v>176</v>
      </c>
      <c r="B88" s="13">
        <v>0</v>
      </c>
      <c r="C88" t="s">
        <v>3</v>
      </c>
      <c r="D88">
        <v>47</v>
      </c>
      <c r="E88">
        <v>10</v>
      </c>
      <c r="F88" t="s">
        <v>568</v>
      </c>
    </row>
    <row r="89" spans="1:6" x14ac:dyDescent="0.25">
      <c r="A89" t="s">
        <v>177</v>
      </c>
      <c r="B89" s="13">
        <v>0</v>
      </c>
      <c r="C89" t="s">
        <v>3</v>
      </c>
      <c r="D89">
        <v>47</v>
      </c>
      <c r="E89">
        <v>10</v>
      </c>
      <c r="F89" t="s">
        <v>569</v>
      </c>
    </row>
    <row r="90" spans="1:6" x14ac:dyDescent="0.25">
      <c r="A90" t="s">
        <v>178</v>
      </c>
      <c r="B90" s="13">
        <v>3.33</v>
      </c>
      <c r="C90" t="s">
        <v>3</v>
      </c>
      <c r="D90">
        <v>49</v>
      </c>
      <c r="E90">
        <v>10</v>
      </c>
      <c r="F90" t="s">
        <v>567</v>
      </c>
    </row>
    <row r="91" spans="1:6" x14ac:dyDescent="0.25">
      <c r="A91" t="s">
        <v>179</v>
      </c>
      <c r="B91" s="13">
        <v>3.33</v>
      </c>
      <c r="C91" t="s">
        <v>3</v>
      </c>
      <c r="D91">
        <v>49</v>
      </c>
      <c r="E91">
        <v>10</v>
      </c>
      <c r="F91" t="s">
        <v>568</v>
      </c>
    </row>
    <row r="92" spans="1:6" x14ac:dyDescent="0.25">
      <c r="A92" t="s">
        <v>180</v>
      </c>
      <c r="B92" s="13">
        <v>3.33</v>
      </c>
      <c r="C92" t="s">
        <v>3</v>
      </c>
      <c r="D92">
        <v>49</v>
      </c>
      <c r="E92">
        <v>10</v>
      </c>
      <c r="F92" t="s">
        <v>569</v>
      </c>
    </row>
    <row r="93" spans="1:6" x14ac:dyDescent="0.25">
      <c r="A93" t="s">
        <v>181</v>
      </c>
      <c r="B93" s="13">
        <v>0</v>
      </c>
      <c r="C93" t="s">
        <v>3</v>
      </c>
      <c r="D93">
        <v>50</v>
      </c>
      <c r="E93">
        <v>10</v>
      </c>
      <c r="F93" t="s">
        <v>567</v>
      </c>
    </row>
    <row r="94" spans="1:6" x14ac:dyDescent="0.25">
      <c r="A94" t="s">
        <v>182</v>
      </c>
      <c r="B94" s="13">
        <v>0</v>
      </c>
      <c r="C94" t="s">
        <v>3</v>
      </c>
      <c r="D94">
        <v>50</v>
      </c>
      <c r="E94">
        <v>10</v>
      </c>
      <c r="F94" t="s">
        <v>568</v>
      </c>
    </row>
    <row r="95" spans="1:6" x14ac:dyDescent="0.25">
      <c r="A95" t="s">
        <v>183</v>
      </c>
      <c r="B95" s="13">
        <v>3.68</v>
      </c>
      <c r="C95" t="s">
        <v>3</v>
      </c>
      <c r="D95">
        <v>50</v>
      </c>
      <c r="E95">
        <v>10</v>
      </c>
      <c r="F95" t="s">
        <v>569</v>
      </c>
    </row>
    <row r="96" spans="1:6" x14ac:dyDescent="0.25">
      <c r="A96" t="s">
        <v>184</v>
      </c>
      <c r="B96" s="13">
        <v>0</v>
      </c>
      <c r="C96" t="s">
        <v>3</v>
      </c>
      <c r="D96">
        <v>52</v>
      </c>
      <c r="E96">
        <v>10</v>
      </c>
      <c r="F96" t="s">
        <v>567</v>
      </c>
    </row>
    <row r="97" spans="1:6" x14ac:dyDescent="0.25">
      <c r="A97" t="s">
        <v>185</v>
      </c>
      <c r="B97" s="13">
        <v>0</v>
      </c>
      <c r="C97" t="s">
        <v>3</v>
      </c>
      <c r="D97">
        <v>52</v>
      </c>
      <c r="E97">
        <v>10</v>
      </c>
      <c r="F97" t="s">
        <v>568</v>
      </c>
    </row>
    <row r="98" spans="1:6" x14ac:dyDescent="0.25">
      <c r="A98" t="s">
        <v>186</v>
      </c>
      <c r="B98" s="13">
        <v>0</v>
      </c>
      <c r="C98" t="s">
        <v>3</v>
      </c>
      <c r="D98">
        <v>52</v>
      </c>
      <c r="E98">
        <v>10</v>
      </c>
      <c r="F98" t="s">
        <v>569</v>
      </c>
    </row>
    <row r="99" spans="1:6" x14ac:dyDescent="0.25">
      <c r="A99" t="s">
        <v>187</v>
      </c>
      <c r="B99" s="13">
        <v>3.33</v>
      </c>
      <c r="C99" t="s">
        <v>3</v>
      </c>
      <c r="D99">
        <v>54</v>
      </c>
      <c r="E99">
        <v>10</v>
      </c>
      <c r="F99" t="s">
        <v>567</v>
      </c>
    </row>
    <row r="100" spans="1:6" x14ac:dyDescent="0.25">
      <c r="A100" t="s">
        <v>188</v>
      </c>
      <c r="B100" s="13">
        <v>3.33</v>
      </c>
      <c r="C100" t="s">
        <v>3</v>
      </c>
      <c r="D100">
        <v>54</v>
      </c>
      <c r="E100">
        <v>10</v>
      </c>
      <c r="F100" t="s">
        <v>568</v>
      </c>
    </row>
    <row r="101" spans="1:6" x14ac:dyDescent="0.25">
      <c r="A101" t="s">
        <v>189</v>
      </c>
      <c r="B101" s="13">
        <v>3.33</v>
      </c>
      <c r="C101" t="s">
        <v>3</v>
      </c>
      <c r="D101">
        <v>54</v>
      </c>
      <c r="E101">
        <v>10</v>
      </c>
      <c r="F101" t="s">
        <v>569</v>
      </c>
    </row>
    <row r="102" spans="1:6" x14ac:dyDescent="0.25">
      <c r="A102" t="s">
        <v>190</v>
      </c>
      <c r="B102" s="13">
        <v>0</v>
      </c>
      <c r="C102" t="s">
        <v>3</v>
      </c>
      <c r="D102">
        <v>57</v>
      </c>
      <c r="E102">
        <v>10</v>
      </c>
      <c r="F102" t="s">
        <v>567</v>
      </c>
    </row>
    <row r="103" spans="1:6" x14ac:dyDescent="0.25">
      <c r="A103" t="s">
        <v>191</v>
      </c>
      <c r="B103" s="13">
        <v>0</v>
      </c>
      <c r="C103" t="s">
        <v>3</v>
      </c>
      <c r="D103">
        <v>57</v>
      </c>
      <c r="E103">
        <v>10</v>
      </c>
      <c r="F103" t="s">
        <v>568</v>
      </c>
    </row>
    <row r="104" spans="1:6" x14ac:dyDescent="0.25">
      <c r="A104" t="s">
        <v>192</v>
      </c>
      <c r="B104" s="13">
        <v>0</v>
      </c>
      <c r="C104" t="s">
        <v>3</v>
      </c>
      <c r="D104">
        <v>57</v>
      </c>
      <c r="E104">
        <v>10</v>
      </c>
      <c r="F104" t="s">
        <v>569</v>
      </c>
    </row>
    <row r="105" spans="1:6" x14ac:dyDescent="0.25">
      <c r="A105" t="s">
        <v>118</v>
      </c>
      <c r="B105" s="13">
        <v>3.33</v>
      </c>
      <c r="C105" t="s">
        <v>3</v>
      </c>
      <c r="D105">
        <v>5</v>
      </c>
      <c r="E105">
        <v>10</v>
      </c>
      <c r="F105" t="s">
        <v>567</v>
      </c>
    </row>
    <row r="106" spans="1:6" x14ac:dyDescent="0.25">
      <c r="A106" t="s">
        <v>119</v>
      </c>
      <c r="B106" s="13">
        <v>3.33</v>
      </c>
      <c r="C106" t="s">
        <v>3</v>
      </c>
      <c r="D106">
        <v>5</v>
      </c>
      <c r="E106">
        <v>10</v>
      </c>
      <c r="F106" t="s">
        <v>568</v>
      </c>
    </row>
    <row r="107" spans="1:6" x14ac:dyDescent="0.25">
      <c r="A107" t="s">
        <v>120</v>
      </c>
      <c r="B107" s="13">
        <v>3.33</v>
      </c>
      <c r="C107" t="s">
        <v>3</v>
      </c>
      <c r="D107">
        <v>5</v>
      </c>
      <c r="E107">
        <v>10</v>
      </c>
      <c r="F107" t="s">
        <v>569</v>
      </c>
    </row>
    <row r="108" spans="1:6" x14ac:dyDescent="0.25">
      <c r="A108" t="s">
        <v>193</v>
      </c>
      <c r="B108" s="13">
        <v>3.33</v>
      </c>
      <c r="C108" t="s">
        <v>3</v>
      </c>
      <c r="D108">
        <v>60</v>
      </c>
      <c r="E108">
        <v>10</v>
      </c>
      <c r="F108" t="s">
        <v>567</v>
      </c>
    </row>
    <row r="109" spans="1:6" x14ac:dyDescent="0.25">
      <c r="A109" t="s">
        <v>194</v>
      </c>
      <c r="B109" s="13">
        <v>3.33</v>
      </c>
      <c r="C109" t="s">
        <v>3</v>
      </c>
      <c r="D109">
        <v>60</v>
      </c>
      <c r="E109">
        <v>10</v>
      </c>
      <c r="F109" t="s">
        <v>568</v>
      </c>
    </row>
    <row r="110" spans="1:6" x14ac:dyDescent="0.25">
      <c r="A110" t="s">
        <v>195</v>
      </c>
      <c r="B110" s="13">
        <v>3.33</v>
      </c>
      <c r="C110" t="s">
        <v>3</v>
      </c>
      <c r="D110">
        <v>60</v>
      </c>
      <c r="E110">
        <v>10</v>
      </c>
      <c r="F110" t="s">
        <v>569</v>
      </c>
    </row>
    <row r="111" spans="1:6" x14ac:dyDescent="0.25">
      <c r="A111" t="s">
        <v>196</v>
      </c>
      <c r="B111" s="13">
        <v>3.33</v>
      </c>
      <c r="C111" t="s">
        <v>3</v>
      </c>
      <c r="D111">
        <v>62</v>
      </c>
      <c r="E111">
        <v>10</v>
      </c>
      <c r="F111" t="s">
        <v>567</v>
      </c>
    </row>
    <row r="112" spans="1:6" x14ac:dyDescent="0.25">
      <c r="A112" t="s">
        <v>197</v>
      </c>
      <c r="B112" s="13">
        <v>3.33</v>
      </c>
      <c r="C112" t="s">
        <v>3</v>
      </c>
      <c r="D112">
        <v>62</v>
      </c>
      <c r="E112">
        <v>10</v>
      </c>
      <c r="F112" t="s">
        <v>568</v>
      </c>
    </row>
    <row r="113" spans="1:6" x14ac:dyDescent="0.25">
      <c r="A113" t="s">
        <v>198</v>
      </c>
      <c r="B113" s="13">
        <v>3.33</v>
      </c>
      <c r="C113" t="s">
        <v>3</v>
      </c>
      <c r="D113">
        <v>62</v>
      </c>
      <c r="E113">
        <v>10</v>
      </c>
      <c r="F113" t="s">
        <v>569</v>
      </c>
    </row>
    <row r="114" spans="1:6" x14ac:dyDescent="0.25">
      <c r="A114" t="s">
        <v>199</v>
      </c>
      <c r="B114" s="13">
        <v>0</v>
      </c>
      <c r="C114" t="s">
        <v>3</v>
      </c>
      <c r="D114">
        <v>64</v>
      </c>
      <c r="E114">
        <v>10</v>
      </c>
      <c r="F114" t="s">
        <v>567</v>
      </c>
    </row>
    <row r="115" spans="1:6" x14ac:dyDescent="0.25">
      <c r="A115" t="s">
        <v>200</v>
      </c>
      <c r="B115" s="13">
        <v>0</v>
      </c>
      <c r="C115" t="s">
        <v>3</v>
      </c>
      <c r="D115">
        <v>64</v>
      </c>
      <c r="E115">
        <v>10</v>
      </c>
      <c r="F115" t="s">
        <v>568</v>
      </c>
    </row>
    <row r="116" spans="1:6" x14ac:dyDescent="0.25">
      <c r="A116" t="s">
        <v>201</v>
      </c>
      <c r="B116" s="13">
        <v>0</v>
      </c>
      <c r="C116" t="s">
        <v>3</v>
      </c>
      <c r="D116">
        <v>64</v>
      </c>
      <c r="E116">
        <v>10</v>
      </c>
      <c r="F116" t="s">
        <v>569</v>
      </c>
    </row>
    <row r="117" spans="1:6" x14ac:dyDescent="0.25">
      <c r="A117" t="s">
        <v>202</v>
      </c>
      <c r="B117" s="13">
        <v>3.33</v>
      </c>
      <c r="C117" t="s">
        <v>3</v>
      </c>
      <c r="D117">
        <v>66</v>
      </c>
      <c r="E117">
        <v>10</v>
      </c>
      <c r="F117" t="s">
        <v>567</v>
      </c>
    </row>
    <row r="118" spans="1:6" x14ac:dyDescent="0.25">
      <c r="A118" t="s">
        <v>203</v>
      </c>
      <c r="B118" s="13">
        <v>3.33</v>
      </c>
      <c r="C118" t="s">
        <v>3</v>
      </c>
      <c r="D118">
        <v>66</v>
      </c>
      <c r="E118">
        <v>10</v>
      </c>
      <c r="F118" t="s">
        <v>568</v>
      </c>
    </row>
    <row r="119" spans="1:6" x14ac:dyDescent="0.25">
      <c r="A119" t="s">
        <v>204</v>
      </c>
      <c r="B119" s="13">
        <v>3.33</v>
      </c>
      <c r="C119" t="s">
        <v>3</v>
      </c>
      <c r="D119">
        <v>66</v>
      </c>
      <c r="E119">
        <v>10</v>
      </c>
      <c r="F119" t="s">
        <v>569</v>
      </c>
    </row>
    <row r="120" spans="1:6" x14ac:dyDescent="0.25">
      <c r="A120" t="s">
        <v>205</v>
      </c>
      <c r="B120" s="13">
        <v>0</v>
      </c>
      <c r="C120" t="s">
        <v>3</v>
      </c>
      <c r="D120">
        <v>67</v>
      </c>
      <c r="E120">
        <v>10</v>
      </c>
      <c r="F120" t="s">
        <v>567</v>
      </c>
    </row>
    <row r="121" spans="1:6" x14ac:dyDescent="0.25">
      <c r="A121" t="s">
        <v>206</v>
      </c>
      <c r="B121" s="13">
        <v>0</v>
      </c>
      <c r="C121" t="s">
        <v>3</v>
      </c>
      <c r="D121">
        <v>67</v>
      </c>
      <c r="E121">
        <v>10</v>
      </c>
      <c r="F121" t="s">
        <v>568</v>
      </c>
    </row>
    <row r="122" spans="1:6" x14ac:dyDescent="0.25">
      <c r="A122" t="s">
        <v>207</v>
      </c>
      <c r="B122" s="13">
        <v>0</v>
      </c>
      <c r="C122" t="s">
        <v>3</v>
      </c>
      <c r="D122">
        <v>67</v>
      </c>
      <c r="E122">
        <v>10</v>
      </c>
      <c r="F122" t="s">
        <v>569</v>
      </c>
    </row>
    <row r="123" spans="1:6" x14ac:dyDescent="0.25">
      <c r="A123" t="s">
        <v>208</v>
      </c>
      <c r="B123" s="13">
        <v>3.33</v>
      </c>
      <c r="C123" t="s">
        <v>3</v>
      </c>
      <c r="D123">
        <v>72</v>
      </c>
      <c r="E123">
        <v>10</v>
      </c>
      <c r="F123" t="s">
        <v>567</v>
      </c>
    </row>
    <row r="124" spans="1:6" x14ac:dyDescent="0.25">
      <c r="A124" t="s">
        <v>209</v>
      </c>
      <c r="B124" s="13">
        <v>3.33</v>
      </c>
      <c r="C124" t="s">
        <v>3</v>
      </c>
      <c r="D124">
        <v>72</v>
      </c>
      <c r="E124">
        <v>10</v>
      </c>
      <c r="F124" t="s">
        <v>568</v>
      </c>
    </row>
    <row r="125" spans="1:6" x14ac:dyDescent="0.25">
      <c r="A125" t="s">
        <v>210</v>
      </c>
      <c r="B125" s="13">
        <v>3.33</v>
      </c>
      <c r="C125" t="s">
        <v>3</v>
      </c>
      <c r="D125">
        <v>72</v>
      </c>
      <c r="E125">
        <v>10</v>
      </c>
      <c r="F125" t="s">
        <v>569</v>
      </c>
    </row>
    <row r="126" spans="1:6" x14ac:dyDescent="0.25">
      <c r="A126" t="s">
        <v>211</v>
      </c>
      <c r="B126" s="13">
        <v>0</v>
      </c>
      <c r="C126" t="s">
        <v>3</v>
      </c>
      <c r="D126">
        <v>73</v>
      </c>
      <c r="E126">
        <v>10</v>
      </c>
      <c r="F126" t="s">
        <v>567</v>
      </c>
    </row>
    <row r="127" spans="1:6" x14ac:dyDescent="0.25">
      <c r="A127" t="s">
        <v>212</v>
      </c>
      <c r="B127" s="13">
        <v>0</v>
      </c>
      <c r="C127" t="s">
        <v>3</v>
      </c>
      <c r="D127">
        <v>73</v>
      </c>
      <c r="E127">
        <v>10</v>
      </c>
      <c r="F127" t="s">
        <v>568</v>
      </c>
    </row>
    <row r="128" spans="1:6" x14ac:dyDescent="0.25">
      <c r="A128" t="s">
        <v>213</v>
      </c>
      <c r="B128" s="13">
        <v>3.68</v>
      </c>
      <c r="C128" t="s">
        <v>3</v>
      </c>
      <c r="D128">
        <v>73</v>
      </c>
      <c r="E128">
        <v>10</v>
      </c>
      <c r="F128" t="s">
        <v>569</v>
      </c>
    </row>
    <row r="129" spans="1:6" x14ac:dyDescent="0.25">
      <c r="A129" t="s">
        <v>214</v>
      </c>
      <c r="B129" s="13">
        <v>0</v>
      </c>
      <c r="C129" t="s">
        <v>3</v>
      </c>
      <c r="D129">
        <v>75</v>
      </c>
      <c r="E129">
        <v>10</v>
      </c>
      <c r="F129" t="s">
        <v>567</v>
      </c>
    </row>
    <row r="130" spans="1:6" x14ac:dyDescent="0.25">
      <c r="A130" t="s">
        <v>215</v>
      </c>
      <c r="B130" s="13">
        <v>0</v>
      </c>
      <c r="C130" t="s">
        <v>3</v>
      </c>
      <c r="D130">
        <v>75</v>
      </c>
      <c r="E130">
        <v>10</v>
      </c>
      <c r="F130" t="s">
        <v>568</v>
      </c>
    </row>
    <row r="131" spans="1:6" x14ac:dyDescent="0.25">
      <c r="A131" t="s">
        <v>216</v>
      </c>
      <c r="B131" s="13">
        <v>0</v>
      </c>
      <c r="C131" t="s">
        <v>3</v>
      </c>
      <c r="D131">
        <v>75</v>
      </c>
      <c r="E131">
        <v>10</v>
      </c>
      <c r="F131" t="s">
        <v>569</v>
      </c>
    </row>
    <row r="132" spans="1:6" x14ac:dyDescent="0.25">
      <c r="A132" t="s">
        <v>217</v>
      </c>
      <c r="B132" s="13">
        <v>3.33</v>
      </c>
      <c r="C132" t="s">
        <v>3</v>
      </c>
      <c r="D132">
        <v>76</v>
      </c>
      <c r="E132">
        <v>10</v>
      </c>
      <c r="F132" t="s">
        <v>567</v>
      </c>
    </row>
    <row r="133" spans="1:6" x14ac:dyDescent="0.25">
      <c r="A133" t="s">
        <v>218</v>
      </c>
      <c r="B133" s="13">
        <v>3.33</v>
      </c>
      <c r="C133" t="s">
        <v>3</v>
      </c>
      <c r="D133">
        <v>76</v>
      </c>
      <c r="E133">
        <v>10</v>
      </c>
      <c r="F133" t="s">
        <v>568</v>
      </c>
    </row>
    <row r="134" spans="1:6" x14ac:dyDescent="0.25">
      <c r="A134" t="s">
        <v>219</v>
      </c>
      <c r="B134" s="13">
        <v>3.33</v>
      </c>
      <c r="C134" t="s">
        <v>3</v>
      </c>
      <c r="D134">
        <v>76</v>
      </c>
      <c r="E134">
        <v>10</v>
      </c>
      <c r="F134" t="s">
        <v>569</v>
      </c>
    </row>
    <row r="135" spans="1:6" x14ac:dyDescent="0.25">
      <c r="A135" t="s">
        <v>220</v>
      </c>
      <c r="B135" s="13">
        <v>0</v>
      </c>
      <c r="C135" t="s">
        <v>3</v>
      </c>
      <c r="D135">
        <v>77</v>
      </c>
      <c r="E135">
        <v>10</v>
      </c>
      <c r="F135" t="s">
        <v>567</v>
      </c>
    </row>
    <row r="136" spans="1:6" x14ac:dyDescent="0.25">
      <c r="A136" t="s">
        <v>221</v>
      </c>
      <c r="B136" s="13">
        <v>0</v>
      </c>
      <c r="C136" t="s">
        <v>3</v>
      </c>
      <c r="D136">
        <v>77</v>
      </c>
      <c r="E136">
        <v>10</v>
      </c>
      <c r="F136" t="s">
        <v>568</v>
      </c>
    </row>
    <row r="137" spans="1:6" x14ac:dyDescent="0.25">
      <c r="A137" t="s">
        <v>222</v>
      </c>
      <c r="B137" s="13">
        <v>0</v>
      </c>
      <c r="C137" t="s">
        <v>3</v>
      </c>
      <c r="D137">
        <v>77</v>
      </c>
      <c r="E137">
        <v>10</v>
      </c>
      <c r="F137" t="s">
        <v>569</v>
      </c>
    </row>
    <row r="138" spans="1:6" x14ac:dyDescent="0.25">
      <c r="A138" t="s">
        <v>121</v>
      </c>
      <c r="B138" s="13">
        <v>3.33</v>
      </c>
      <c r="C138" t="s">
        <v>3</v>
      </c>
      <c r="D138">
        <v>7</v>
      </c>
      <c r="E138">
        <v>10</v>
      </c>
      <c r="F138" t="s">
        <v>567</v>
      </c>
    </row>
    <row r="139" spans="1:6" x14ac:dyDescent="0.25">
      <c r="A139" t="s">
        <v>122</v>
      </c>
      <c r="B139" s="13">
        <v>3.33</v>
      </c>
      <c r="C139" t="s">
        <v>3</v>
      </c>
      <c r="D139">
        <v>7</v>
      </c>
      <c r="E139">
        <v>10</v>
      </c>
      <c r="F139" t="s">
        <v>568</v>
      </c>
    </row>
    <row r="140" spans="1:6" x14ac:dyDescent="0.25">
      <c r="A140" t="s">
        <v>123</v>
      </c>
      <c r="B140" s="13">
        <v>3.33</v>
      </c>
      <c r="C140" t="s">
        <v>3</v>
      </c>
      <c r="D140">
        <v>7</v>
      </c>
      <c r="E140">
        <v>10</v>
      </c>
      <c r="F140" t="s">
        <v>569</v>
      </c>
    </row>
    <row r="141" spans="1:6" x14ac:dyDescent="0.25">
      <c r="A141" t="s">
        <v>223</v>
      </c>
      <c r="B141" s="13">
        <v>3.33</v>
      </c>
      <c r="C141" t="s">
        <v>3</v>
      </c>
      <c r="D141">
        <v>80</v>
      </c>
      <c r="E141">
        <v>10</v>
      </c>
      <c r="F141" t="s">
        <v>567</v>
      </c>
    </row>
    <row r="142" spans="1:6" x14ac:dyDescent="0.25">
      <c r="A142" t="s">
        <v>224</v>
      </c>
      <c r="B142" s="13">
        <v>3.33</v>
      </c>
      <c r="C142" t="s">
        <v>3</v>
      </c>
      <c r="D142">
        <v>80</v>
      </c>
      <c r="E142">
        <v>10</v>
      </c>
      <c r="F142" t="s">
        <v>568</v>
      </c>
    </row>
    <row r="143" spans="1:6" x14ac:dyDescent="0.25">
      <c r="A143" t="s">
        <v>225</v>
      </c>
      <c r="B143" s="13">
        <v>3.33</v>
      </c>
      <c r="C143" t="s">
        <v>3</v>
      </c>
      <c r="D143">
        <v>80</v>
      </c>
      <c r="E143">
        <v>10</v>
      </c>
      <c r="F143" t="s">
        <v>569</v>
      </c>
    </row>
    <row r="144" spans="1:6" x14ac:dyDescent="0.25">
      <c r="A144" t="s">
        <v>226</v>
      </c>
      <c r="B144" s="13">
        <v>3.33</v>
      </c>
      <c r="C144" t="s">
        <v>3</v>
      </c>
      <c r="D144">
        <v>81</v>
      </c>
      <c r="E144">
        <v>10</v>
      </c>
      <c r="F144" t="s">
        <v>567</v>
      </c>
    </row>
    <row r="145" spans="1:6" x14ac:dyDescent="0.25">
      <c r="A145" t="s">
        <v>227</v>
      </c>
      <c r="B145" s="13">
        <v>3.33</v>
      </c>
      <c r="C145" t="s">
        <v>3</v>
      </c>
      <c r="D145">
        <v>81</v>
      </c>
      <c r="E145">
        <v>10</v>
      </c>
      <c r="F145" t="s">
        <v>568</v>
      </c>
    </row>
    <row r="146" spans="1:6" x14ac:dyDescent="0.25">
      <c r="A146" t="s">
        <v>228</v>
      </c>
      <c r="B146" s="13">
        <v>3.33</v>
      </c>
      <c r="C146" t="s">
        <v>3</v>
      </c>
      <c r="D146">
        <v>81</v>
      </c>
      <c r="E146">
        <v>10</v>
      </c>
      <c r="F146" t="s">
        <v>569</v>
      </c>
    </row>
    <row r="147" spans="1:6" x14ac:dyDescent="0.25">
      <c r="A147" t="s">
        <v>229</v>
      </c>
      <c r="B147" s="13">
        <v>0</v>
      </c>
      <c r="C147" t="s">
        <v>3</v>
      </c>
      <c r="D147">
        <v>83</v>
      </c>
      <c r="E147">
        <v>10</v>
      </c>
      <c r="F147" t="s">
        <v>567</v>
      </c>
    </row>
    <row r="148" spans="1:6" x14ac:dyDescent="0.25">
      <c r="A148" t="s">
        <v>230</v>
      </c>
      <c r="B148" s="13">
        <v>0</v>
      </c>
      <c r="C148" t="s">
        <v>3</v>
      </c>
      <c r="D148">
        <v>83</v>
      </c>
      <c r="E148">
        <v>10</v>
      </c>
      <c r="F148" t="s">
        <v>568</v>
      </c>
    </row>
    <row r="149" spans="1:6" x14ac:dyDescent="0.25">
      <c r="A149" t="s">
        <v>231</v>
      </c>
      <c r="B149" s="13">
        <v>0</v>
      </c>
      <c r="C149" t="s">
        <v>3</v>
      </c>
      <c r="D149">
        <v>83</v>
      </c>
      <c r="E149">
        <v>10</v>
      </c>
      <c r="F149" t="s">
        <v>569</v>
      </c>
    </row>
    <row r="150" spans="1:6" x14ac:dyDescent="0.25">
      <c r="A150" t="s">
        <v>232</v>
      </c>
      <c r="B150" s="13">
        <v>3.33</v>
      </c>
      <c r="C150" t="s">
        <v>3</v>
      </c>
      <c r="D150">
        <v>87</v>
      </c>
      <c r="E150">
        <v>10</v>
      </c>
      <c r="F150" t="s">
        <v>567</v>
      </c>
    </row>
    <row r="151" spans="1:6" x14ac:dyDescent="0.25">
      <c r="A151" t="s">
        <v>233</v>
      </c>
      <c r="B151" s="13">
        <v>3.33</v>
      </c>
      <c r="C151" t="s">
        <v>3</v>
      </c>
      <c r="D151">
        <v>87</v>
      </c>
      <c r="E151">
        <v>10</v>
      </c>
      <c r="F151" t="s">
        <v>568</v>
      </c>
    </row>
    <row r="152" spans="1:6" x14ac:dyDescent="0.25">
      <c r="A152" t="s">
        <v>234</v>
      </c>
      <c r="B152" s="13">
        <v>3.33</v>
      </c>
      <c r="C152" t="s">
        <v>3</v>
      </c>
      <c r="D152">
        <v>87</v>
      </c>
      <c r="E152">
        <v>10</v>
      </c>
      <c r="F152" t="s">
        <v>569</v>
      </c>
    </row>
    <row r="153" spans="1:6" x14ac:dyDescent="0.25">
      <c r="A153" t="s">
        <v>235</v>
      </c>
      <c r="B153" s="13">
        <v>0</v>
      </c>
      <c r="C153" t="s">
        <v>3</v>
      </c>
      <c r="D153">
        <v>88</v>
      </c>
      <c r="E153">
        <v>10</v>
      </c>
      <c r="F153" t="s">
        <v>567</v>
      </c>
    </row>
    <row r="154" spans="1:6" x14ac:dyDescent="0.25">
      <c r="A154" t="s">
        <v>236</v>
      </c>
      <c r="B154" s="13">
        <v>0</v>
      </c>
      <c r="C154" t="s">
        <v>3</v>
      </c>
      <c r="D154">
        <v>88</v>
      </c>
      <c r="E154">
        <v>10</v>
      </c>
      <c r="F154" t="s">
        <v>568</v>
      </c>
    </row>
    <row r="155" spans="1:6" x14ac:dyDescent="0.25">
      <c r="A155" t="s">
        <v>237</v>
      </c>
      <c r="B155" s="13">
        <v>0</v>
      </c>
      <c r="C155" t="s">
        <v>3</v>
      </c>
      <c r="D155">
        <v>88</v>
      </c>
      <c r="E155">
        <v>10</v>
      </c>
      <c r="F155" t="s">
        <v>569</v>
      </c>
    </row>
    <row r="156" spans="1:6" x14ac:dyDescent="0.25">
      <c r="A156" t="s">
        <v>238</v>
      </c>
      <c r="B156" s="13">
        <v>3.33</v>
      </c>
      <c r="C156" t="s">
        <v>3</v>
      </c>
      <c r="D156">
        <v>93</v>
      </c>
      <c r="E156">
        <v>10</v>
      </c>
      <c r="F156" t="s">
        <v>567</v>
      </c>
    </row>
    <row r="157" spans="1:6" x14ac:dyDescent="0.25">
      <c r="A157" t="s">
        <v>239</v>
      </c>
      <c r="B157" s="13">
        <v>3.33</v>
      </c>
      <c r="C157" t="s">
        <v>3</v>
      </c>
      <c r="D157">
        <v>93</v>
      </c>
      <c r="E157">
        <v>10</v>
      </c>
      <c r="F157" t="s">
        <v>568</v>
      </c>
    </row>
    <row r="158" spans="1:6" x14ac:dyDescent="0.25">
      <c r="A158" t="s">
        <v>240</v>
      </c>
      <c r="B158" s="13">
        <v>3.33</v>
      </c>
      <c r="C158" t="s">
        <v>3</v>
      </c>
      <c r="D158">
        <v>93</v>
      </c>
      <c r="E158">
        <v>10</v>
      </c>
      <c r="F158" t="s">
        <v>569</v>
      </c>
    </row>
    <row r="159" spans="1:6" x14ac:dyDescent="0.25">
      <c r="A159" t="s">
        <v>241</v>
      </c>
      <c r="B159" s="13">
        <v>0</v>
      </c>
      <c r="C159" t="s">
        <v>3</v>
      </c>
      <c r="D159">
        <v>95</v>
      </c>
      <c r="E159">
        <v>10</v>
      </c>
      <c r="F159" t="s">
        <v>567</v>
      </c>
    </row>
    <row r="160" spans="1:6" x14ac:dyDescent="0.25">
      <c r="A160" t="s">
        <v>242</v>
      </c>
      <c r="B160" s="13">
        <v>0</v>
      </c>
      <c r="C160" t="s">
        <v>3</v>
      </c>
      <c r="D160">
        <v>95</v>
      </c>
      <c r="E160">
        <v>10</v>
      </c>
      <c r="F160" t="s">
        <v>568</v>
      </c>
    </row>
    <row r="161" spans="1:6" x14ac:dyDescent="0.25">
      <c r="A161" t="s">
        <v>243</v>
      </c>
      <c r="B161" s="13">
        <v>3.68</v>
      </c>
      <c r="C161" t="s">
        <v>3</v>
      </c>
      <c r="D161">
        <v>95</v>
      </c>
      <c r="E161">
        <v>10</v>
      </c>
      <c r="F161" t="s">
        <v>569</v>
      </c>
    </row>
    <row r="162" spans="1:6" x14ac:dyDescent="0.25">
      <c r="A162" t="s">
        <v>244</v>
      </c>
      <c r="B162" s="13">
        <v>0</v>
      </c>
      <c r="C162" t="s">
        <v>3</v>
      </c>
      <c r="D162">
        <v>96</v>
      </c>
      <c r="E162">
        <v>10</v>
      </c>
      <c r="F162" t="s">
        <v>567</v>
      </c>
    </row>
    <row r="163" spans="1:6" x14ac:dyDescent="0.25">
      <c r="A163" t="s">
        <v>245</v>
      </c>
      <c r="B163" s="13">
        <v>0</v>
      </c>
      <c r="C163" t="s">
        <v>3</v>
      </c>
      <c r="D163">
        <v>96</v>
      </c>
      <c r="E163">
        <v>10</v>
      </c>
      <c r="F163" t="s">
        <v>568</v>
      </c>
    </row>
    <row r="164" spans="1:6" x14ac:dyDescent="0.25">
      <c r="A164" t="s">
        <v>246</v>
      </c>
      <c r="B164" s="13">
        <v>0</v>
      </c>
      <c r="C164" t="s">
        <v>3</v>
      </c>
      <c r="D164">
        <v>96</v>
      </c>
      <c r="E164">
        <v>10</v>
      </c>
      <c r="F164" t="s">
        <v>569</v>
      </c>
    </row>
    <row r="165" spans="1:6" x14ac:dyDescent="0.25">
      <c r="A165" t="s">
        <v>247</v>
      </c>
      <c r="B165" s="13">
        <v>3.33</v>
      </c>
      <c r="C165" t="s">
        <v>3</v>
      </c>
      <c r="D165">
        <v>97</v>
      </c>
      <c r="E165">
        <v>10</v>
      </c>
      <c r="F165" t="s">
        <v>567</v>
      </c>
    </row>
    <row r="166" spans="1:6" x14ac:dyDescent="0.25">
      <c r="A166" t="s">
        <v>248</v>
      </c>
      <c r="B166" s="13">
        <v>3.33</v>
      </c>
      <c r="C166" t="s">
        <v>3</v>
      </c>
      <c r="D166">
        <v>97</v>
      </c>
      <c r="E166">
        <v>10</v>
      </c>
      <c r="F166" t="s">
        <v>568</v>
      </c>
    </row>
    <row r="167" spans="1:6" x14ac:dyDescent="0.25">
      <c r="A167" t="s">
        <v>249</v>
      </c>
      <c r="B167" s="13">
        <v>3.33</v>
      </c>
      <c r="C167" t="s">
        <v>3</v>
      </c>
      <c r="D167">
        <v>97</v>
      </c>
      <c r="E167">
        <v>10</v>
      </c>
      <c r="F167" t="s">
        <v>569</v>
      </c>
    </row>
    <row r="169" spans="1:6" x14ac:dyDescent="0.25">
      <c r="B169">
        <f>SUM(B3:B167)</f>
        <v>268.15000000000038</v>
      </c>
    </row>
  </sheetData>
  <sortState xmlns:xlrd2="http://schemas.microsoft.com/office/spreadsheetml/2017/richdata2" ref="P3:Q167">
    <sortCondition ref="P3:P167"/>
  </sortState>
  <mergeCells count="2">
    <mergeCell ref="D1:D2"/>
    <mergeCell ref="F1:F2"/>
  </mergeCells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F2BE46-DAB8-4BA7-A8DE-561EDEF86A5C}">
  <dimension ref="A1:H125"/>
  <sheetViews>
    <sheetView workbookViewId="0">
      <selection activeCell="G104" sqref="G104:G105"/>
    </sheetView>
  </sheetViews>
  <sheetFormatPr defaultRowHeight="15" x14ac:dyDescent="0.25"/>
  <cols>
    <col min="7" max="7" width="17.28515625" customWidth="1"/>
    <col min="8" max="8" width="16.140625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1" t="s">
        <v>550</v>
      </c>
      <c r="G1" t="s">
        <v>385</v>
      </c>
      <c r="H1" t="s">
        <v>384</v>
      </c>
    </row>
    <row r="2" spans="1:8" x14ac:dyDescent="0.25">
      <c r="A2" s="1" t="s">
        <v>532</v>
      </c>
      <c r="B2" s="1" t="s">
        <v>348</v>
      </c>
      <c r="C2" s="1" t="s">
        <v>367</v>
      </c>
      <c r="D2" s="11"/>
      <c r="G2" t="s">
        <v>558</v>
      </c>
      <c r="H2" t="s">
        <v>351</v>
      </c>
    </row>
    <row r="3" spans="1:8" x14ac:dyDescent="0.25">
      <c r="A3" t="s">
        <v>109</v>
      </c>
      <c r="B3" t="s">
        <v>3</v>
      </c>
      <c r="C3" t="s">
        <v>3</v>
      </c>
      <c r="D3">
        <v>100</v>
      </c>
      <c r="G3" s="8" t="s">
        <v>552</v>
      </c>
      <c r="H3" t="s">
        <v>551</v>
      </c>
    </row>
    <row r="4" spans="1:8" x14ac:dyDescent="0.25">
      <c r="A4" t="s">
        <v>110</v>
      </c>
      <c r="B4" t="s">
        <v>3</v>
      </c>
      <c r="C4" t="s">
        <v>3</v>
      </c>
      <c r="D4">
        <v>100</v>
      </c>
      <c r="G4" s="8" t="s">
        <v>554</v>
      </c>
      <c r="H4" t="s">
        <v>553</v>
      </c>
    </row>
    <row r="5" spans="1:8" x14ac:dyDescent="0.25">
      <c r="A5" t="s">
        <v>111</v>
      </c>
      <c r="B5" t="s">
        <v>3</v>
      </c>
      <c r="C5" t="s">
        <v>3</v>
      </c>
      <c r="D5">
        <v>100</v>
      </c>
      <c r="G5" t="s">
        <v>556</v>
      </c>
      <c r="H5" t="s">
        <v>555</v>
      </c>
    </row>
    <row r="6" spans="1:8" x14ac:dyDescent="0.25">
      <c r="A6" t="s">
        <v>112</v>
      </c>
      <c r="B6" t="s">
        <v>3</v>
      </c>
      <c r="C6" t="s">
        <v>3</v>
      </c>
      <c r="D6">
        <v>101</v>
      </c>
    </row>
    <row r="7" spans="1:8" x14ac:dyDescent="0.25">
      <c r="A7" t="s">
        <v>113</v>
      </c>
      <c r="B7" t="s">
        <v>3</v>
      </c>
      <c r="C7" t="s">
        <v>3</v>
      </c>
      <c r="D7">
        <v>101</v>
      </c>
    </row>
    <row r="8" spans="1:8" x14ac:dyDescent="0.25">
      <c r="A8" t="s">
        <v>114</v>
      </c>
      <c r="B8" t="s">
        <v>3</v>
      </c>
      <c r="C8" t="s">
        <v>3</v>
      </c>
      <c r="D8">
        <v>101</v>
      </c>
    </row>
    <row r="9" spans="1:8" x14ac:dyDescent="0.25">
      <c r="A9" t="s">
        <v>115</v>
      </c>
      <c r="B9" t="s">
        <v>3</v>
      </c>
      <c r="C9" t="s">
        <v>3</v>
      </c>
      <c r="D9">
        <v>110</v>
      </c>
    </row>
    <row r="10" spans="1:8" x14ac:dyDescent="0.25">
      <c r="A10" t="s">
        <v>116</v>
      </c>
      <c r="B10" t="s">
        <v>3</v>
      </c>
      <c r="C10" t="s">
        <v>3</v>
      </c>
      <c r="D10">
        <v>110</v>
      </c>
    </row>
    <row r="11" spans="1:8" x14ac:dyDescent="0.25">
      <c r="A11" t="s">
        <v>117</v>
      </c>
      <c r="B11" t="s">
        <v>3</v>
      </c>
      <c r="C11" t="s">
        <v>3</v>
      </c>
      <c r="D11">
        <v>110</v>
      </c>
    </row>
    <row r="12" spans="1:8" x14ac:dyDescent="0.25">
      <c r="A12" t="s">
        <v>13</v>
      </c>
      <c r="B12" t="s">
        <v>3</v>
      </c>
      <c r="C12" t="s">
        <v>3</v>
      </c>
      <c r="D12">
        <v>14</v>
      </c>
    </row>
    <row r="13" spans="1:8" x14ac:dyDescent="0.25">
      <c r="A13" t="s">
        <v>14</v>
      </c>
      <c r="B13" t="s">
        <v>3</v>
      </c>
      <c r="C13" t="s">
        <v>3</v>
      </c>
      <c r="D13">
        <v>14</v>
      </c>
    </row>
    <row r="14" spans="1:8" x14ac:dyDescent="0.25">
      <c r="A14" t="s">
        <v>15</v>
      </c>
      <c r="B14" t="s">
        <v>3</v>
      </c>
      <c r="C14" t="s">
        <v>3</v>
      </c>
      <c r="D14">
        <v>14</v>
      </c>
    </row>
    <row r="15" spans="1:8" x14ac:dyDescent="0.25">
      <c r="A15" t="s">
        <v>16</v>
      </c>
      <c r="B15" t="s">
        <v>3</v>
      </c>
      <c r="C15" t="s">
        <v>3</v>
      </c>
      <c r="D15">
        <v>15</v>
      </c>
    </row>
    <row r="16" spans="1:8" x14ac:dyDescent="0.25">
      <c r="A16" t="s">
        <v>17</v>
      </c>
      <c r="B16" t="s">
        <v>3</v>
      </c>
      <c r="C16" t="s">
        <v>3</v>
      </c>
      <c r="D16">
        <v>15</v>
      </c>
    </row>
    <row r="17" spans="1:4" x14ac:dyDescent="0.25">
      <c r="A17" t="s">
        <v>18</v>
      </c>
      <c r="B17" t="s">
        <v>3</v>
      </c>
      <c r="C17" t="s">
        <v>3</v>
      </c>
      <c r="D17">
        <v>15</v>
      </c>
    </row>
    <row r="18" spans="1:4" x14ac:dyDescent="0.25">
      <c r="A18" t="s">
        <v>19</v>
      </c>
      <c r="B18" t="s">
        <v>3</v>
      </c>
      <c r="C18" t="s">
        <v>3</v>
      </c>
      <c r="D18">
        <v>28</v>
      </c>
    </row>
    <row r="19" spans="1:4" x14ac:dyDescent="0.25">
      <c r="A19" t="s">
        <v>20</v>
      </c>
      <c r="B19" t="s">
        <v>3</v>
      </c>
      <c r="C19" t="s">
        <v>3</v>
      </c>
      <c r="D19">
        <v>28</v>
      </c>
    </row>
    <row r="20" spans="1:4" x14ac:dyDescent="0.25">
      <c r="A20" t="s">
        <v>21</v>
      </c>
      <c r="B20" t="s">
        <v>3</v>
      </c>
      <c r="C20" t="s">
        <v>3</v>
      </c>
      <c r="D20">
        <v>28</v>
      </c>
    </row>
    <row r="21" spans="1:4" x14ac:dyDescent="0.25">
      <c r="A21" t="s">
        <v>22</v>
      </c>
      <c r="B21" t="s">
        <v>3</v>
      </c>
      <c r="C21" t="s">
        <v>3</v>
      </c>
      <c r="D21">
        <v>29</v>
      </c>
    </row>
    <row r="22" spans="1:4" x14ac:dyDescent="0.25">
      <c r="A22" t="s">
        <v>23</v>
      </c>
      <c r="B22" t="s">
        <v>3</v>
      </c>
      <c r="C22" t="s">
        <v>3</v>
      </c>
      <c r="D22">
        <v>29</v>
      </c>
    </row>
    <row r="23" spans="1:4" x14ac:dyDescent="0.25">
      <c r="A23" t="s">
        <v>24</v>
      </c>
      <c r="B23" t="s">
        <v>3</v>
      </c>
      <c r="C23" t="s">
        <v>3</v>
      </c>
      <c r="D23">
        <v>29</v>
      </c>
    </row>
    <row r="24" spans="1:4" x14ac:dyDescent="0.25">
      <c r="A24" t="s">
        <v>4</v>
      </c>
      <c r="B24" t="s">
        <v>3</v>
      </c>
      <c r="C24" t="s">
        <v>3</v>
      </c>
      <c r="D24">
        <v>2</v>
      </c>
    </row>
    <row r="25" spans="1:4" x14ac:dyDescent="0.25">
      <c r="A25" t="s">
        <v>5</v>
      </c>
      <c r="B25" t="s">
        <v>3</v>
      </c>
      <c r="C25" t="s">
        <v>3</v>
      </c>
      <c r="D25">
        <v>2</v>
      </c>
    </row>
    <row r="26" spans="1:4" x14ac:dyDescent="0.25">
      <c r="A26" t="s">
        <v>6</v>
      </c>
      <c r="B26" t="s">
        <v>3</v>
      </c>
      <c r="C26" t="s">
        <v>3</v>
      </c>
      <c r="D26">
        <v>2</v>
      </c>
    </row>
    <row r="27" spans="1:4" x14ac:dyDescent="0.25">
      <c r="A27" t="s">
        <v>25</v>
      </c>
      <c r="B27" t="s">
        <v>3</v>
      </c>
      <c r="C27" t="s">
        <v>3</v>
      </c>
      <c r="D27">
        <v>32</v>
      </c>
    </row>
    <row r="28" spans="1:4" x14ac:dyDescent="0.25">
      <c r="A28" t="s">
        <v>26</v>
      </c>
      <c r="B28" t="s">
        <v>3</v>
      </c>
      <c r="C28" t="s">
        <v>3</v>
      </c>
      <c r="D28">
        <v>32</v>
      </c>
    </row>
    <row r="29" spans="1:4" x14ac:dyDescent="0.25">
      <c r="A29" t="s">
        <v>27</v>
      </c>
      <c r="B29" t="s">
        <v>3</v>
      </c>
      <c r="C29" t="s">
        <v>3</v>
      </c>
      <c r="D29">
        <v>32</v>
      </c>
    </row>
    <row r="30" spans="1:4" x14ac:dyDescent="0.25">
      <c r="A30" t="s">
        <v>28</v>
      </c>
      <c r="B30" t="s">
        <v>3</v>
      </c>
      <c r="C30" t="s">
        <v>3</v>
      </c>
      <c r="D30">
        <v>35</v>
      </c>
    </row>
    <row r="31" spans="1:4" x14ac:dyDescent="0.25">
      <c r="A31" t="s">
        <v>29</v>
      </c>
      <c r="B31" t="s">
        <v>3</v>
      </c>
      <c r="C31" t="s">
        <v>3</v>
      </c>
      <c r="D31">
        <v>35</v>
      </c>
    </row>
    <row r="32" spans="1:4" x14ac:dyDescent="0.25">
      <c r="A32" t="s">
        <v>30</v>
      </c>
      <c r="B32" t="s">
        <v>3</v>
      </c>
      <c r="C32" t="s">
        <v>3</v>
      </c>
      <c r="D32">
        <v>35</v>
      </c>
    </row>
    <row r="33" spans="1:4" x14ac:dyDescent="0.25">
      <c r="A33" t="s">
        <v>31</v>
      </c>
      <c r="B33" t="s">
        <v>3</v>
      </c>
      <c r="C33" t="s">
        <v>3</v>
      </c>
      <c r="D33">
        <v>38</v>
      </c>
    </row>
    <row r="34" spans="1:4" x14ac:dyDescent="0.25">
      <c r="A34" t="s">
        <v>32</v>
      </c>
      <c r="B34" t="s">
        <v>3</v>
      </c>
      <c r="C34" t="s">
        <v>3</v>
      </c>
      <c r="D34">
        <v>38</v>
      </c>
    </row>
    <row r="35" spans="1:4" x14ac:dyDescent="0.25">
      <c r="A35" t="s">
        <v>33</v>
      </c>
      <c r="B35" t="s">
        <v>3</v>
      </c>
      <c r="C35" t="s">
        <v>3</v>
      </c>
      <c r="D35">
        <v>38</v>
      </c>
    </row>
    <row r="36" spans="1:4" x14ac:dyDescent="0.25">
      <c r="A36" t="s">
        <v>34</v>
      </c>
      <c r="B36" t="s">
        <v>3</v>
      </c>
      <c r="C36" t="s">
        <v>3</v>
      </c>
      <c r="D36">
        <v>39</v>
      </c>
    </row>
    <row r="37" spans="1:4" x14ac:dyDescent="0.25">
      <c r="A37" t="s">
        <v>35</v>
      </c>
      <c r="B37" t="s">
        <v>3</v>
      </c>
      <c r="C37" t="s">
        <v>3</v>
      </c>
      <c r="D37">
        <v>39</v>
      </c>
    </row>
    <row r="38" spans="1:4" x14ac:dyDescent="0.25">
      <c r="A38" t="s">
        <v>36</v>
      </c>
      <c r="B38" t="s">
        <v>3</v>
      </c>
      <c r="C38" t="s">
        <v>3</v>
      </c>
      <c r="D38">
        <v>39</v>
      </c>
    </row>
    <row r="39" spans="1:4" x14ac:dyDescent="0.25">
      <c r="A39" t="s">
        <v>37</v>
      </c>
      <c r="B39" t="s">
        <v>3</v>
      </c>
      <c r="C39" t="s">
        <v>3</v>
      </c>
      <c r="D39">
        <v>40</v>
      </c>
    </row>
    <row r="40" spans="1:4" x14ac:dyDescent="0.25">
      <c r="A40" t="s">
        <v>38</v>
      </c>
      <c r="B40" t="s">
        <v>3</v>
      </c>
      <c r="C40" t="s">
        <v>3</v>
      </c>
      <c r="D40">
        <v>40</v>
      </c>
    </row>
    <row r="41" spans="1:4" x14ac:dyDescent="0.25">
      <c r="A41" t="s">
        <v>39</v>
      </c>
      <c r="B41" t="s">
        <v>3</v>
      </c>
      <c r="C41" t="s">
        <v>3</v>
      </c>
      <c r="D41">
        <v>40</v>
      </c>
    </row>
    <row r="42" spans="1:4" x14ac:dyDescent="0.25">
      <c r="A42" t="s">
        <v>40</v>
      </c>
      <c r="B42" t="s">
        <v>3</v>
      </c>
      <c r="C42" t="s">
        <v>3</v>
      </c>
      <c r="D42">
        <v>41</v>
      </c>
    </row>
    <row r="43" spans="1:4" x14ac:dyDescent="0.25">
      <c r="A43" t="s">
        <v>41</v>
      </c>
      <c r="B43" t="s">
        <v>3</v>
      </c>
      <c r="C43" t="s">
        <v>3</v>
      </c>
      <c r="D43">
        <v>41</v>
      </c>
    </row>
    <row r="44" spans="1:4" x14ac:dyDescent="0.25">
      <c r="A44" t="s">
        <v>42</v>
      </c>
      <c r="B44" t="s">
        <v>3</v>
      </c>
      <c r="C44" t="s">
        <v>3</v>
      </c>
      <c r="D44">
        <v>41</v>
      </c>
    </row>
    <row r="45" spans="1:4" x14ac:dyDescent="0.25">
      <c r="A45" t="s">
        <v>43</v>
      </c>
      <c r="B45" t="s">
        <v>3</v>
      </c>
      <c r="C45" t="s">
        <v>3</v>
      </c>
      <c r="D45">
        <v>43</v>
      </c>
    </row>
    <row r="46" spans="1:4" x14ac:dyDescent="0.25">
      <c r="A46" t="s">
        <v>44</v>
      </c>
      <c r="B46" t="s">
        <v>3</v>
      </c>
      <c r="C46" t="s">
        <v>3</v>
      </c>
      <c r="D46">
        <v>43</v>
      </c>
    </row>
    <row r="47" spans="1:4" x14ac:dyDescent="0.25">
      <c r="A47" t="s">
        <v>45</v>
      </c>
      <c r="B47" t="s">
        <v>3</v>
      </c>
      <c r="C47" t="s">
        <v>3</v>
      </c>
      <c r="D47">
        <v>43</v>
      </c>
    </row>
    <row r="48" spans="1:4" x14ac:dyDescent="0.25">
      <c r="A48" t="s">
        <v>7</v>
      </c>
      <c r="B48" t="s">
        <v>3</v>
      </c>
      <c r="C48" t="s">
        <v>3</v>
      </c>
      <c r="D48">
        <v>48</v>
      </c>
    </row>
    <row r="49" spans="1:4" x14ac:dyDescent="0.25">
      <c r="A49" t="s">
        <v>8</v>
      </c>
      <c r="B49" t="s">
        <v>3</v>
      </c>
      <c r="C49" t="s">
        <v>3</v>
      </c>
      <c r="D49">
        <v>48</v>
      </c>
    </row>
    <row r="50" spans="1:4" x14ac:dyDescent="0.25">
      <c r="A50" t="s">
        <v>9</v>
      </c>
      <c r="B50" t="s">
        <v>3</v>
      </c>
      <c r="C50" t="s">
        <v>3</v>
      </c>
      <c r="D50">
        <v>48</v>
      </c>
    </row>
    <row r="51" spans="1:4" x14ac:dyDescent="0.25">
      <c r="A51" t="s">
        <v>46</v>
      </c>
      <c r="B51" t="s">
        <v>3</v>
      </c>
      <c r="C51" t="s">
        <v>3</v>
      </c>
      <c r="D51">
        <v>4</v>
      </c>
    </row>
    <row r="52" spans="1:4" x14ac:dyDescent="0.25">
      <c r="A52" t="s">
        <v>47</v>
      </c>
      <c r="B52" t="s">
        <v>3</v>
      </c>
      <c r="C52" t="s">
        <v>3</v>
      </c>
      <c r="D52">
        <v>4</v>
      </c>
    </row>
    <row r="53" spans="1:4" x14ac:dyDescent="0.25">
      <c r="A53" t="s">
        <v>48</v>
      </c>
      <c r="B53" t="s">
        <v>3</v>
      </c>
      <c r="C53" t="s">
        <v>3</v>
      </c>
      <c r="D53">
        <v>4</v>
      </c>
    </row>
    <row r="54" spans="1:4" x14ac:dyDescent="0.25">
      <c r="A54" t="s">
        <v>49</v>
      </c>
      <c r="B54" t="s">
        <v>3</v>
      </c>
      <c r="C54" t="s">
        <v>3</v>
      </c>
      <c r="D54">
        <v>50</v>
      </c>
    </row>
    <row r="55" spans="1:4" x14ac:dyDescent="0.25">
      <c r="A55" t="s">
        <v>50</v>
      </c>
      <c r="B55" t="s">
        <v>3</v>
      </c>
      <c r="C55" t="s">
        <v>3</v>
      </c>
      <c r="D55">
        <v>50</v>
      </c>
    </row>
    <row r="56" spans="1:4" x14ac:dyDescent="0.25">
      <c r="A56" t="s">
        <v>51</v>
      </c>
      <c r="B56" t="s">
        <v>3</v>
      </c>
      <c r="C56" t="s">
        <v>3</v>
      </c>
      <c r="D56">
        <v>50</v>
      </c>
    </row>
    <row r="57" spans="1:4" x14ac:dyDescent="0.25">
      <c r="A57" t="s">
        <v>52</v>
      </c>
      <c r="B57" t="s">
        <v>3</v>
      </c>
      <c r="C57" t="s">
        <v>3</v>
      </c>
      <c r="D57">
        <v>51</v>
      </c>
    </row>
    <row r="58" spans="1:4" x14ac:dyDescent="0.25">
      <c r="A58" t="s">
        <v>53</v>
      </c>
      <c r="B58" t="s">
        <v>3</v>
      </c>
      <c r="C58" t="s">
        <v>3</v>
      </c>
      <c r="D58">
        <v>51</v>
      </c>
    </row>
    <row r="59" spans="1:4" x14ac:dyDescent="0.25">
      <c r="A59" t="s">
        <v>54</v>
      </c>
      <c r="B59" t="s">
        <v>3</v>
      </c>
      <c r="C59" t="s">
        <v>3</v>
      </c>
      <c r="D59">
        <v>51</v>
      </c>
    </row>
    <row r="60" spans="1:4" x14ac:dyDescent="0.25">
      <c r="A60" t="s">
        <v>55</v>
      </c>
      <c r="B60" t="s">
        <v>3</v>
      </c>
      <c r="C60" t="s">
        <v>3</v>
      </c>
      <c r="D60">
        <v>53</v>
      </c>
    </row>
    <row r="61" spans="1:4" x14ac:dyDescent="0.25">
      <c r="A61" t="s">
        <v>56</v>
      </c>
      <c r="B61" t="s">
        <v>3</v>
      </c>
      <c r="C61" t="s">
        <v>3</v>
      </c>
      <c r="D61">
        <v>53</v>
      </c>
    </row>
    <row r="62" spans="1:4" x14ac:dyDescent="0.25">
      <c r="A62" t="s">
        <v>57</v>
      </c>
      <c r="B62" t="s">
        <v>3</v>
      </c>
      <c r="C62" t="s">
        <v>3</v>
      </c>
      <c r="D62">
        <v>53</v>
      </c>
    </row>
    <row r="63" spans="1:4" x14ac:dyDescent="0.25">
      <c r="A63" t="s">
        <v>58</v>
      </c>
      <c r="B63" t="s">
        <v>3</v>
      </c>
      <c r="C63" t="s">
        <v>3</v>
      </c>
      <c r="D63">
        <v>54</v>
      </c>
    </row>
    <row r="64" spans="1:4" x14ac:dyDescent="0.25">
      <c r="A64" t="s">
        <v>59</v>
      </c>
      <c r="B64" t="s">
        <v>3</v>
      </c>
      <c r="C64" t="s">
        <v>3</v>
      </c>
      <c r="D64">
        <v>54</v>
      </c>
    </row>
    <row r="65" spans="1:4" x14ac:dyDescent="0.25">
      <c r="A65" t="s">
        <v>60</v>
      </c>
      <c r="B65" t="s">
        <v>3</v>
      </c>
      <c r="C65" t="s">
        <v>3</v>
      </c>
      <c r="D65">
        <v>54</v>
      </c>
    </row>
    <row r="66" spans="1:4" x14ac:dyDescent="0.25">
      <c r="A66" t="s">
        <v>61</v>
      </c>
      <c r="B66" t="s">
        <v>3</v>
      </c>
      <c r="C66" t="s">
        <v>3</v>
      </c>
      <c r="D66">
        <v>55</v>
      </c>
    </row>
    <row r="67" spans="1:4" x14ac:dyDescent="0.25">
      <c r="A67" t="s">
        <v>62</v>
      </c>
      <c r="B67" t="s">
        <v>3</v>
      </c>
      <c r="C67" t="s">
        <v>3</v>
      </c>
      <c r="D67">
        <v>55</v>
      </c>
    </row>
    <row r="68" spans="1:4" x14ac:dyDescent="0.25">
      <c r="A68" t="s">
        <v>63</v>
      </c>
      <c r="B68" t="s">
        <v>3</v>
      </c>
      <c r="C68" t="s">
        <v>3</v>
      </c>
      <c r="D68">
        <v>55</v>
      </c>
    </row>
    <row r="69" spans="1:4" x14ac:dyDescent="0.25">
      <c r="A69" t="s">
        <v>64</v>
      </c>
      <c r="B69" t="s">
        <v>3</v>
      </c>
      <c r="C69" t="s">
        <v>3</v>
      </c>
      <c r="D69">
        <v>58</v>
      </c>
    </row>
    <row r="70" spans="1:4" x14ac:dyDescent="0.25">
      <c r="A70" t="s">
        <v>65</v>
      </c>
      <c r="B70" t="s">
        <v>3</v>
      </c>
      <c r="C70" t="s">
        <v>3</v>
      </c>
      <c r="D70">
        <v>58</v>
      </c>
    </row>
    <row r="71" spans="1:4" x14ac:dyDescent="0.25">
      <c r="A71" t="s">
        <v>66</v>
      </c>
      <c r="B71" t="s">
        <v>3</v>
      </c>
      <c r="C71" t="s">
        <v>3</v>
      </c>
      <c r="D71">
        <v>58</v>
      </c>
    </row>
    <row r="72" spans="1:4" x14ac:dyDescent="0.25">
      <c r="A72" t="s">
        <v>67</v>
      </c>
      <c r="B72" t="s">
        <v>3</v>
      </c>
      <c r="C72" t="s">
        <v>3</v>
      </c>
      <c r="D72">
        <v>59</v>
      </c>
    </row>
    <row r="73" spans="1:4" x14ac:dyDescent="0.25">
      <c r="A73" t="s">
        <v>68</v>
      </c>
      <c r="B73" t="s">
        <v>3</v>
      </c>
      <c r="C73" t="s">
        <v>3</v>
      </c>
      <c r="D73">
        <v>59</v>
      </c>
    </row>
    <row r="74" spans="1:4" x14ac:dyDescent="0.25">
      <c r="A74" t="s">
        <v>69</v>
      </c>
      <c r="B74" t="s">
        <v>3</v>
      </c>
      <c r="C74" t="s">
        <v>3</v>
      </c>
      <c r="D74">
        <v>59</v>
      </c>
    </row>
    <row r="75" spans="1:4" x14ac:dyDescent="0.25">
      <c r="A75" t="s">
        <v>70</v>
      </c>
      <c r="B75" t="s">
        <v>3</v>
      </c>
      <c r="C75" t="s">
        <v>3</v>
      </c>
      <c r="D75">
        <v>65</v>
      </c>
    </row>
    <row r="76" spans="1:4" x14ac:dyDescent="0.25">
      <c r="A76" t="s">
        <v>71</v>
      </c>
      <c r="B76" t="s">
        <v>3</v>
      </c>
      <c r="C76" t="s">
        <v>3</v>
      </c>
      <c r="D76">
        <v>65</v>
      </c>
    </row>
    <row r="77" spans="1:4" x14ac:dyDescent="0.25">
      <c r="A77" t="s">
        <v>72</v>
      </c>
      <c r="B77" t="s">
        <v>3</v>
      </c>
      <c r="C77" t="s">
        <v>3</v>
      </c>
      <c r="D77">
        <v>65</v>
      </c>
    </row>
    <row r="78" spans="1:4" x14ac:dyDescent="0.25">
      <c r="A78" t="s">
        <v>73</v>
      </c>
      <c r="B78" t="s">
        <v>3</v>
      </c>
      <c r="C78" t="s">
        <v>3</v>
      </c>
      <c r="D78">
        <v>66</v>
      </c>
    </row>
    <row r="79" spans="1:4" x14ac:dyDescent="0.25">
      <c r="A79" t="s">
        <v>74</v>
      </c>
      <c r="B79" t="s">
        <v>3</v>
      </c>
      <c r="C79" t="s">
        <v>3</v>
      </c>
      <c r="D79">
        <v>66</v>
      </c>
    </row>
    <row r="80" spans="1:4" x14ac:dyDescent="0.25">
      <c r="A80" t="s">
        <v>75</v>
      </c>
      <c r="B80" t="s">
        <v>3</v>
      </c>
      <c r="C80" t="s">
        <v>3</v>
      </c>
      <c r="D80">
        <v>66</v>
      </c>
    </row>
    <row r="81" spans="1:4" x14ac:dyDescent="0.25">
      <c r="A81" t="s">
        <v>76</v>
      </c>
      <c r="B81" t="s">
        <v>3</v>
      </c>
      <c r="C81" t="s">
        <v>3</v>
      </c>
      <c r="D81">
        <v>68</v>
      </c>
    </row>
    <row r="82" spans="1:4" x14ac:dyDescent="0.25">
      <c r="A82" t="s">
        <v>77</v>
      </c>
      <c r="B82" t="s">
        <v>3</v>
      </c>
      <c r="C82" t="s">
        <v>3</v>
      </c>
      <c r="D82">
        <v>68</v>
      </c>
    </row>
    <row r="83" spans="1:4" x14ac:dyDescent="0.25">
      <c r="A83" t="s">
        <v>78</v>
      </c>
      <c r="B83" t="s">
        <v>3</v>
      </c>
      <c r="C83" t="s">
        <v>3</v>
      </c>
      <c r="D83">
        <v>68</v>
      </c>
    </row>
    <row r="84" spans="1:4" x14ac:dyDescent="0.25">
      <c r="A84" t="s">
        <v>79</v>
      </c>
      <c r="B84" t="s">
        <v>3</v>
      </c>
      <c r="C84" t="s">
        <v>3</v>
      </c>
      <c r="D84">
        <v>69</v>
      </c>
    </row>
    <row r="85" spans="1:4" x14ac:dyDescent="0.25">
      <c r="A85" t="s">
        <v>80</v>
      </c>
      <c r="B85" t="s">
        <v>3</v>
      </c>
      <c r="C85" t="s">
        <v>3</v>
      </c>
      <c r="D85">
        <v>69</v>
      </c>
    </row>
    <row r="86" spans="1:4" x14ac:dyDescent="0.25">
      <c r="A86" t="s">
        <v>81</v>
      </c>
      <c r="B86" t="s">
        <v>3</v>
      </c>
      <c r="C86" t="s">
        <v>3</v>
      </c>
      <c r="D86">
        <v>69</v>
      </c>
    </row>
    <row r="87" spans="1:4" x14ac:dyDescent="0.25">
      <c r="A87" t="s">
        <v>82</v>
      </c>
      <c r="B87" t="s">
        <v>3</v>
      </c>
      <c r="C87" t="s">
        <v>3</v>
      </c>
      <c r="D87">
        <v>70</v>
      </c>
    </row>
    <row r="88" spans="1:4" x14ac:dyDescent="0.25">
      <c r="A88" t="s">
        <v>83</v>
      </c>
      <c r="B88" t="s">
        <v>3</v>
      </c>
      <c r="C88" t="s">
        <v>3</v>
      </c>
      <c r="D88">
        <v>70</v>
      </c>
    </row>
    <row r="89" spans="1:4" x14ac:dyDescent="0.25">
      <c r="A89" t="s">
        <v>84</v>
      </c>
      <c r="B89" t="s">
        <v>3</v>
      </c>
      <c r="C89" t="s">
        <v>3</v>
      </c>
      <c r="D89">
        <v>70</v>
      </c>
    </row>
    <row r="90" spans="1:4" x14ac:dyDescent="0.25">
      <c r="A90" t="s">
        <v>85</v>
      </c>
      <c r="B90" t="s">
        <v>3</v>
      </c>
      <c r="C90" t="s">
        <v>3</v>
      </c>
      <c r="D90">
        <v>71</v>
      </c>
    </row>
    <row r="91" spans="1:4" x14ac:dyDescent="0.25">
      <c r="A91" t="s">
        <v>86</v>
      </c>
      <c r="B91" t="s">
        <v>3</v>
      </c>
      <c r="C91" t="s">
        <v>3</v>
      </c>
      <c r="D91">
        <v>71</v>
      </c>
    </row>
    <row r="92" spans="1:4" x14ac:dyDescent="0.25">
      <c r="A92" t="s">
        <v>87</v>
      </c>
      <c r="B92" t="s">
        <v>3</v>
      </c>
      <c r="C92" t="s">
        <v>3</v>
      </c>
      <c r="D92">
        <v>71</v>
      </c>
    </row>
    <row r="93" spans="1:4" x14ac:dyDescent="0.25">
      <c r="A93" t="s">
        <v>88</v>
      </c>
      <c r="B93" t="s">
        <v>3</v>
      </c>
      <c r="C93" t="s">
        <v>3</v>
      </c>
      <c r="D93">
        <v>74</v>
      </c>
    </row>
    <row r="94" spans="1:4" x14ac:dyDescent="0.25">
      <c r="A94" t="s">
        <v>89</v>
      </c>
      <c r="B94" t="s">
        <v>3</v>
      </c>
      <c r="C94" t="s">
        <v>3</v>
      </c>
      <c r="D94">
        <v>74</v>
      </c>
    </row>
    <row r="95" spans="1:4" x14ac:dyDescent="0.25">
      <c r="A95" t="s">
        <v>90</v>
      </c>
      <c r="B95" t="s">
        <v>3</v>
      </c>
      <c r="C95" t="s">
        <v>3</v>
      </c>
      <c r="D95">
        <v>74</v>
      </c>
    </row>
    <row r="96" spans="1:4" x14ac:dyDescent="0.25">
      <c r="A96" t="s">
        <v>91</v>
      </c>
      <c r="B96" t="s">
        <v>3</v>
      </c>
      <c r="C96" t="s">
        <v>3</v>
      </c>
      <c r="D96">
        <v>79</v>
      </c>
    </row>
    <row r="97" spans="1:4" x14ac:dyDescent="0.25">
      <c r="A97" t="s">
        <v>92</v>
      </c>
      <c r="B97" t="s">
        <v>3</v>
      </c>
      <c r="C97" t="s">
        <v>3</v>
      </c>
      <c r="D97">
        <v>79</v>
      </c>
    </row>
    <row r="98" spans="1:4" x14ac:dyDescent="0.25">
      <c r="A98" t="s">
        <v>93</v>
      </c>
      <c r="B98" t="s">
        <v>3</v>
      </c>
      <c r="C98" t="s">
        <v>3</v>
      </c>
      <c r="D98">
        <v>79</v>
      </c>
    </row>
    <row r="99" spans="1:4" x14ac:dyDescent="0.25">
      <c r="A99" t="s">
        <v>94</v>
      </c>
      <c r="B99" t="s">
        <v>3</v>
      </c>
      <c r="C99" t="s">
        <v>3</v>
      </c>
      <c r="D99">
        <v>80</v>
      </c>
    </row>
    <row r="100" spans="1:4" x14ac:dyDescent="0.25">
      <c r="A100" t="s">
        <v>95</v>
      </c>
      <c r="B100" t="s">
        <v>3</v>
      </c>
      <c r="C100" t="s">
        <v>3</v>
      </c>
      <c r="D100">
        <v>80</v>
      </c>
    </row>
    <row r="101" spans="1:4" x14ac:dyDescent="0.25">
      <c r="A101" t="s">
        <v>96</v>
      </c>
      <c r="B101" t="s">
        <v>3</v>
      </c>
      <c r="C101" t="s">
        <v>3</v>
      </c>
      <c r="D101">
        <v>80</v>
      </c>
    </row>
    <row r="102" spans="1:4" x14ac:dyDescent="0.25">
      <c r="A102" t="s">
        <v>97</v>
      </c>
      <c r="B102" t="s">
        <v>3</v>
      </c>
      <c r="C102" t="s">
        <v>3</v>
      </c>
      <c r="D102">
        <v>82</v>
      </c>
    </row>
    <row r="103" spans="1:4" x14ac:dyDescent="0.25">
      <c r="A103" t="s">
        <v>98</v>
      </c>
      <c r="B103" t="s">
        <v>3</v>
      </c>
      <c r="C103" t="s">
        <v>3</v>
      </c>
      <c r="D103">
        <v>82</v>
      </c>
    </row>
    <row r="104" spans="1:4" x14ac:dyDescent="0.25">
      <c r="A104" t="s">
        <v>99</v>
      </c>
      <c r="B104" t="s">
        <v>3</v>
      </c>
      <c r="C104" t="s">
        <v>3</v>
      </c>
      <c r="D104">
        <v>82</v>
      </c>
    </row>
    <row r="105" spans="1:4" x14ac:dyDescent="0.25">
      <c r="A105" t="s">
        <v>10</v>
      </c>
      <c r="B105" t="s">
        <v>3</v>
      </c>
      <c r="C105" t="s">
        <v>3</v>
      </c>
      <c r="D105">
        <v>85</v>
      </c>
    </row>
    <row r="106" spans="1:4" x14ac:dyDescent="0.25">
      <c r="A106" t="s">
        <v>11</v>
      </c>
      <c r="B106" t="s">
        <v>3</v>
      </c>
      <c r="C106" t="s">
        <v>3</v>
      </c>
      <c r="D106">
        <v>85</v>
      </c>
    </row>
    <row r="107" spans="1:4" x14ac:dyDescent="0.25">
      <c r="A107" t="s">
        <v>12</v>
      </c>
      <c r="B107" t="s">
        <v>3</v>
      </c>
      <c r="C107" t="s">
        <v>3</v>
      </c>
      <c r="D107">
        <v>85</v>
      </c>
    </row>
    <row r="108" spans="1:4" x14ac:dyDescent="0.25">
      <c r="A108" t="s">
        <v>100</v>
      </c>
      <c r="B108" t="s">
        <v>3</v>
      </c>
      <c r="C108" t="s">
        <v>3</v>
      </c>
      <c r="D108">
        <v>86</v>
      </c>
    </row>
    <row r="109" spans="1:4" x14ac:dyDescent="0.25">
      <c r="A109" t="s">
        <v>101</v>
      </c>
      <c r="B109" t="s">
        <v>3</v>
      </c>
      <c r="C109" t="s">
        <v>3</v>
      </c>
      <c r="D109">
        <v>86</v>
      </c>
    </row>
    <row r="110" spans="1:4" x14ac:dyDescent="0.25">
      <c r="A110" t="s">
        <v>102</v>
      </c>
      <c r="B110" t="s">
        <v>3</v>
      </c>
      <c r="C110" t="s">
        <v>3</v>
      </c>
      <c r="D110">
        <v>86</v>
      </c>
    </row>
    <row r="111" spans="1:4" x14ac:dyDescent="0.25">
      <c r="A111" t="s">
        <v>103</v>
      </c>
      <c r="B111" t="s">
        <v>3</v>
      </c>
      <c r="C111" t="s">
        <v>3</v>
      </c>
      <c r="D111">
        <v>89</v>
      </c>
    </row>
    <row r="112" spans="1:4" x14ac:dyDescent="0.25">
      <c r="A112" t="s">
        <v>104</v>
      </c>
      <c r="B112" t="s">
        <v>3</v>
      </c>
      <c r="C112" t="s">
        <v>3</v>
      </c>
      <c r="D112">
        <v>89</v>
      </c>
    </row>
    <row r="113" spans="1:4" x14ac:dyDescent="0.25">
      <c r="A113" t="s">
        <v>105</v>
      </c>
      <c r="B113" t="s">
        <v>3</v>
      </c>
      <c r="C113" t="s">
        <v>3</v>
      </c>
      <c r="D113">
        <v>89</v>
      </c>
    </row>
    <row r="114" spans="1:4" x14ac:dyDescent="0.25">
      <c r="A114" t="s">
        <v>106</v>
      </c>
      <c r="B114" t="s">
        <v>3</v>
      </c>
      <c r="C114" t="s">
        <v>3</v>
      </c>
      <c r="D114">
        <v>8</v>
      </c>
    </row>
    <row r="115" spans="1:4" x14ac:dyDescent="0.25">
      <c r="A115" t="s">
        <v>107</v>
      </c>
      <c r="B115" t="s">
        <v>3</v>
      </c>
      <c r="C115" t="s">
        <v>3</v>
      </c>
      <c r="D115">
        <v>8</v>
      </c>
    </row>
    <row r="116" spans="1:4" x14ac:dyDescent="0.25">
      <c r="A116" t="s">
        <v>108</v>
      </c>
      <c r="B116" t="s">
        <v>3</v>
      </c>
      <c r="C116" t="s">
        <v>3</v>
      </c>
      <c r="D116">
        <v>8</v>
      </c>
    </row>
    <row r="117" spans="1:4" x14ac:dyDescent="0.25">
      <c r="D117">
        <v>90</v>
      </c>
    </row>
    <row r="118" spans="1:4" x14ac:dyDescent="0.25">
      <c r="D118">
        <v>90</v>
      </c>
    </row>
    <row r="119" spans="1:4" x14ac:dyDescent="0.25">
      <c r="D119">
        <v>90</v>
      </c>
    </row>
    <row r="120" spans="1:4" x14ac:dyDescent="0.25">
      <c r="D120">
        <v>92</v>
      </c>
    </row>
    <row r="121" spans="1:4" x14ac:dyDescent="0.25">
      <c r="D121">
        <v>92</v>
      </c>
    </row>
    <row r="122" spans="1:4" x14ac:dyDescent="0.25">
      <c r="D122">
        <v>92</v>
      </c>
    </row>
    <row r="123" spans="1:4" x14ac:dyDescent="0.25">
      <c r="D123">
        <v>99</v>
      </c>
    </row>
    <row r="124" spans="1:4" x14ac:dyDescent="0.25">
      <c r="D124">
        <v>99</v>
      </c>
    </row>
    <row r="125" spans="1:4" x14ac:dyDescent="0.25">
      <c r="D125">
        <v>99</v>
      </c>
    </row>
  </sheetData>
  <sortState xmlns:xlrd2="http://schemas.microsoft.com/office/spreadsheetml/2017/richdata2" ref="A3:C116">
    <sortCondition ref="A3:A116"/>
  </sortState>
  <mergeCells count="1">
    <mergeCell ref="D1:D2"/>
  </mergeCells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AD897A-6A12-4F8E-B8C3-BD87BBB555DD}">
  <dimension ref="A1:E34"/>
  <sheetViews>
    <sheetView zoomScale="115" zoomScaleNormal="115" workbookViewId="0">
      <selection activeCell="E3" sqref="E3"/>
    </sheetView>
  </sheetViews>
  <sheetFormatPr defaultRowHeight="15" x14ac:dyDescent="0.25"/>
  <cols>
    <col min="5" max="5" width="25.140625" customWidth="1"/>
  </cols>
  <sheetData>
    <row r="1" spans="1:5" ht="18" thickBot="1" x14ac:dyDescent="0.3">
      <c r="A1" s="7" t="s">
        <v>361</v>
      </c>
      <c r="B1" s="7" t="s">
        <v>362</v>
      </c>
      <c r="C1" s="7" t="s">
        <v>363</v>
      </c>
      <c r="D1" s="7" t="s">
        <v>364</v>
      </c>
      <c r="E1" s="10" t="s">
        <v>570</v>
      </c>
    </row>
    <row r="2" spans="1:5" x14ac:dyDescent="0.25">
      <c r="A2" s="3" t="s">
        <v>562</v>
      </c>
      <c r="B2" t="s">
        <v>4</v>
      </c>
      <c r="C2" t="s">
        <v>5</v>
      </c>
      <c r="D2" t="s">
        <v>6</v>
      </c>
      <c r="E2" s="10" t="s">
        <v>571</v>
      </c>
    </row>
    <row r="3" spans="1:5" x14ac:dyDescent="0.25">
      <c r="A3" s="3" t="s">
        <v>368</v>
      </c>
      <c r="B3" t="s">
        <v>82</v>
      </c>
      <c r="C3" t="s">
        <v>83</v>
      </c>
      <c r="D3" t="s">
        <v>84</v>
      </c>
      <c r="E3" s="10" t="s">
        <v>572</v>
      </c>
    </row>
    <row r="4" spans="1:5" x14ac:dyDescent="0.25">
      <c r="A4" s="3"/>
    </row>
    <row r="5" spans="1:5" x14ac:dyDescent="0.25">
      <c r="A5" s="3"/>
    </row>
    <row r="6" spans="1:5" x14ac:dyDescent="0.25">
      <c r="A6" s="3"/>
    </row>
    <row r="7" spans="1:5" x14ac:dyDescent="0.25">
      <c r="A7" s="3"/>
    </row>
    <row r="8" spans="1:5" x14ac:dyDescent="0.25">
      <c r="A8" s="3"/>
    </row>
    <row r="9" spans="1:5" x14ac:dyDescent="0.25">
      <c r="A9" s="3"/>
    </row>
    <row r="10" spans="1:5" x14ac:dyDescent="0.25">
      <c r="A10" s="3"/>
    </row>
    <row r="11" spans="1:5" x14ac:dyDescent="0.25">
      <c r="A11" s="3"/>
    </row>
    <row r="12" spans="1:5" x14ac:dyDescent="0.25">
      <c r="A12" s="3"/>
    </row>
    <row r="13" spans="1:5" x14ac:dyDescent="0.25">
      <c r="A13" s="3"/>
    </row>
    <row r="14" spans="1:5" x14ac:dyDescent="0.25">
      <c r="A14" s="3"/>
    </row>
    <row r="15" spans="1:5" x14ac:dyDescent="0.25">
      <c r="A15" s="3"/>
    </row>
    <row r="16" spans="1:5" x14ac:dyDescent="0.25">
      <c r="A16" s="3"/>
    </row>
    <row r="17" spans="1:1" x14ac:dyDescent="0.25">
      <c r="A17" s="3"/>
    </row>
    <row r="18" spans="1:1" x14ac:dyDescent="0.25">
      <c r="A18" s="3"/>
    </row>
    <row r="19" spans="1:1" x14ac:dyDescent="0.25">
      <c r="A19" s="3"/>
    </row>
    <row r="20" spans="1:1" x14ac:dyDescent="0.25">
      <c r="A20" s="3"/>
    </row>
    <row r="21" spans="1:1" x14ac:dyDescent="0.25">
      <c r="A21" s="3"/>
    </row>
    <row r="22" spans="1:1" x14ac:dyDescent="0.25">
      <c r="A22" s="3"/>
    </row>
    <row r="23" spans="1:1" x14ac:dyDescent="0.25">
      <c r="A23" s="3"/>
    </row>
    <row r="24" spans="1:1" x14ac:dyDescent="0.25">
      <c r="A24" s="3"/>
    </row>
    <row r="25" spans="1:1" x14ac:dyDescent="0.25">
      <c r="A25" s="3"/>
    </row>
    <row r="26" spans="1:1" x14ac:dyDescent="0.25">
      <c r="A26" s="3"/>
    </row>
    <row r="27" spans="1:1" x14ac:dyDescent="0.25">
      <c r="A27" s="3"/>
    </row>
    <row r="28" spans="1:1" x14ac:dyDescent="0.25">
      <c r="A28" s="3"/>
    </row>
    <row r="29" spans="1:1" x14ac:dyDescent="0.25">
      <c r="A29" s="3"/>
    </row>
    <row r="30" spans="1:1" x14ac:dyDescent="0.25">
      <c r="A30" s="3"/>
    </row>
    <row r="31" spans="1:1" x14ac:dyDescent="0.25">
      <c r="A31" s="3"/>
    </row>
    <row r="32" spans="1:1" x14ac:dyDescent="0.25">
      <c r="A32" s="3"/>
    </row>
    <row r="33" spans="1:1" x14ac:dyDescent="0.25">
      <c r="A33" s="3"/>
    </row>
    <row r="34" spans="1:1" x14ac:dyDescent="0.25">
      <c r="A34" s="3"/>
    </row>
  </sheetData>
  <pageMargins left="0.7" right="0.7" top="0.75" bottom="0.75" header="0.3" footer="0.3"/>
  <pageSetup paperSize="9" orientation="portrait" horizontalDpi="4294967293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56BAF-6AAD-4E04-9E27-E6415E9DC357}">
  <dimension ref="A1:V111"/>
  <sheetViews>
    <sheetView workbookViewId="0">
      <selection activeCell="A15" sqref="A15"/>
    </sheetView>
  </sheetViews>
  <sheetFormatPr defaultRowHeight="15" x14ac:dyDescent="0.25"/>
  <cols>
    <col min="2" max="2" width="14" customWidth="1"/>
    <col min="4" max="5" width="9.140625" style="3"/>
  </cols>
  <sheetData>
    <row r="1" spans="1:22" x14ac:dyDescent="0.25">
      <c r="A1" s="1" t="s">
        <v>0</v>
      </c>
      <c r="B1" s="1" t="s">
        <v>344</v>
      </c>
      <c r="C1" s="1" t="s">
        <v>345</v>
      </c>
      <c r="D1" s="2" t="s">
        <v>346</v>
      </c>
      <c r="E1" s="2" t="s">
        <v>347</v>
      </c>
      <c r="P1" s="3"/>
      <c r="Q1" s="3"/>
    </row>
    <row r="2" spans="1:22" x14ac:dyDescent="0.25">
      <c r="A2" t="s">
        <v>115</v>
      </c>
      <c r="B2" t="s">
        <v>351</v>
      </c>
      <c r="C2" t="s">
        <v>348</v>
      </c>
      <c r="D2" s="3" t="s">
        <v>365</v>
      </c>
      <c r="E2" s="3" t="s">
        <v>366</v>
      </c>
      <c r="P2" s="3"/>
      <c r="Q2" s="3"/>
      <c r="U2" s="3"/>
      <c r="V2" s="3"/>
    </row>
    <row r="3" spans="1:22" x14ac:dyDescent="0.25">
      <c r="A3" t="s">
        <v>116</v>
      </c>
      <c r="B3" t="s">
        <v>351</v>
      </c>
      <c r="C3" t="s">
        <v>348</v>
      </c>
      <c r="D3" s="3" t="s">
        <v>365</v>
      </c>
      <c r="E3" s="3" t="s">
        <v>366</v>
      </c>
      <c r="P3" s="3"/>
      <c r="Q3" s="3"/>
      <c r="U3" s="3"/>
      <c r="V3" s="3"/>
    </row>
    <row r="4" spans="1:22" x14ac:dyDescent="0.25">
      <c r="A4" t="s">
        <v>117</v>
      </c>
      <c r="B4" t="s">
        <v>351</v>
      </c>
      <c r="C4" t="s">
        <v>348</v>
      </c>
      <c r="D4" s="3" t="s">
        <v>365</v>
      </c>
      <c r="E4" s="3" t="s">
        <v>366</v>
      </c>
      <c r="P4" s="3"/>
      <c r="Q4" s="3"/>
      <c r="U4" s="3"/>
      <c r="V4" s="3"/>
    </row>
    <row r="5" spans="1:22" x14ac:dyDescent="0.25">
      <c r="A5" t="s">
        <v>22</v>
      </c>
      <c r="B5" t="s">
        <v>351</v>
      </c>
      <c r="C5" t="s">
        <v>348</v>
      </c>
      <c r="D5" s="3" t="s">
        <v>365</v>
      </c>
      <c r="E5" s="3" t="s">
        <v>366</v>
      </c>
      <c r="P5" s="3"/>
      <c r="Q5" s="3"/>
      <c r="U5" s="3"/>
      <c r="V5" s="3"/>
    </row>
    <row r="6" spans="1:22" x14ac:dyDescent="0.25">
      <c r="A6" t="s">
        <v>23</v>
      </c>
      <c r="B6" t="s">
        <v>351</v>
      </c>
      <c r="C6" t="s">
        <v>348</v>
      </c>
      <c r="D6" s="3" t="s">
        <v>365</v>
      </c>
      <c r="E6" s="3" t="s">
        <v>366</v>
      </c>
      <c r="P6" s="3"/>
      <c r="Q6" s="3"/>
      <c r="U6" s="3"/>
      <c r="V6" s="3"/>
    </row>
    <row r="7" spans="1:22" x14ac:dyDescent="0.25">
      <c r="A7" t="s">
        <v>24</v>
      </c>
      <c r="B7" t="s">
        <v>351</v>
      </c>
      <c r="C7" t="s">
        <v>348</v>
      </c>
      <c r="D7" s="3" t="s">
        <v>365</v>
      </c>
      <c r="E7" s="3" t="s">
        <v>366</v>
      </c>
      <c r="P7" s="3"/>
      <c r="Q7" s="3"/>
      <c r="U7" s="3"/>
      <c r="V7" s="3"/>
    </row>
    <row r="8" spans="1:22" x14ac:dyDescent="0.25">
      <c r="A8" t="s">
        <v>352</v>
      </c>
      <c r="B8" t="s">
        <v>351</v>
      </c>
      <c r="C8" t="s">
        <v>348</v>
      </c>
      <c r="D8" s="3" t="s">
        <v>365</v>
      </c>
      <c r="E8" s="3" t="s">
        <v>366</v>
      </c>
      <c r="P8" s="3"/>
      <c r="Q8" s="3"/>
      <c r="U8" s="3"/>
      <c r="V8" s="3"/>
    </row>
    <row r="9" spans="1:22" x14ac:dyDescent="0.25">
      <c r="A9" t="s">
        <v>353</v>
      </c>
      <c r="B9" t="s">
        <v>351</v>
      </c>
      <c r="C9" t="s">
        <v>348</v>
      </c>
      <c r="D9" s="3" t="s">
        <v>365</v>
      </c>
      <c r="E9" s="3" t="s">
        <v>366</v>
      </c>
      <c r="P9" s="3"/>
      <c r="Q9" s="3"/>
      <c r="U9" s="3"/>
      <c r="V9" s="3"/>
    </row>
    <row r="10" spans="1:22" x14ac:dyDescent="0.25">
      <c r="A10" t="s">
        <v>354</v>
      </c>
      <c r="B10" t="s">
        <v>351</v>
      </c>
      <c r="C10" t="s">
        <v>348</v>
      </c>
      <c r="D10" s="3" t="s">
        <v>365</v>
      </c>
      <c r="E10" s="3" t="s">
        <v>366</v>
      </c>
      <c r="P10" s="3"/>
      <c r="Q10" s="3"/>
      <c r="U10" s="3"/>
      <c r="V10" s="3"/>
    </row>
    <row r="11" spans="1:22" x14ac:dyDescent="0.25">
      <c r="A11" t="s">
        <v>355</v>
      </c>
      <c r="B11" t="s">
        <v>351</v>
      </c>
      <c r="C11" t="s">
        <v>348</v>
      </c>
      <c r="D11" s="3" t="s">
        <v>365</v>
      </c>
      <c r="E11" s="3" t="s">
        <v>366</v>
      </c>
      <c r="P11" s="3"/>
      <c r="Q11" s="3"/>
      <c r="U11" s="3"/>
      <c r="V11" s="3"/>
    </row>
    <row r="12" spans="1:22" x14ac:dyDescent="0.25">
      <c r="A12" t="s">
        <v>356</v>
      </c>
      <c r="B12" t="s">
        <v>351</v>
      </c>
      <c r="C12" t="s">
        <v>348</v>
      </c>
      <c r="D12" s="3" t="s">
        <v>365</v>
      </c>
      <c r="E12" s="3" t="s">
        <v>366</v>
      </c>
      <c r="P12" s="3"/>
      <c r="Q12" s="3"/>
      <c r="U12" s="3"/>
      <c r="V12" s="3"/>
    </row>
    <row r="13" spans="1:22" x14ac:dyDescent="0.25">
      <c r="A13" t="s">
        <v>357</v>
      </c>
      <c r="B13" t="s">
        <v>351</v>
      </c>
      <c r="C13" t="s">
        <v>348</v>
      </c>
      <c r="D13" s="3" t="s">
        <v>365</v>
      </c>
      <c r="E13" s="3" t="s">
        <v>366</v>
      </c>
      <c r="P13" s="3"/>
      <c r="Q13" s="3"/>
      <c r="U13" s="3"/>
      <c r="V13" s="3"/>
    </row>
    <row r="14" spans="1:22" x14ac:dyDescent="0.25">
      <c r="A14" t="s">
        <v>358</v>
      </c>
      <c r="B14" t="s">
        <v>351</v>
      </c>
      <c r="C14" t="s">
        <v>348</v>
      </c>
      <c r="D14" s="3" t="s">
        <v>365</v>
      </c>
      <c r="E14" s="3" t="s">
        <v>366</v>
      </c>
      <c r="P14" s="3"/>
      <c r="Q14" s="3"/>
      <c r="U14" s="3"/>
      <c r="V14" s="3"/>
    </row>
    <row r="15" spans="1:22" x14ac:dyDescent="0.25">
      <c r="A15" t="s">
        <v>359</v>
      </c>
      <c r="B15" t="s">
        <v>351</v>
      </c>
      <c r="C15" t="s">
        <v>348</v>
      </c>
      <c r="D15" s="3" t="s">
        <v>365</v>
      </c>
      <c r="E15" s="3" t="s">
        <v>366</v>
      </c>
      <c r="P15" s="3"/>
      <c r="Q15" s="3"/>
      <c r="U15" s="3"/>
      <c r="V15" s="3"/>
    </row>
    <row r="16" spans="1:22" x14ac:dyDescent="0.25">
      <c r="A16" t="s">
        <v>360</v>
      </c>
      <c r="B16" t="s">
        <v>351</v>
      </c>
      <c r="C16" t="s">
        <v>348</v>
      </c>
      <c r="D16" s="3" t="s">
        <v>365</v>
      </c>
      <c r="E16" s="3" t="s">
        <v>366</v>
      </c>
      <c r="P16" s="3"/>
      <c r="Q16" s="3"/>
      <c r="U16" s="3"/>
      <c r="V16" s="3"/>
    </row>
    <row r="17" spans="1:22" x14ac:dyDescent="0.25">
      <c r="A17" t="s">
        <v>115</v>
      </c>
      <c r="B17" t="s">
        <v>351</v>
      </c>
      <c r="C17" t="s">
        <v>367</v>
      </c>
      <c r="D17" s="3" t="s">
        <v>365</v>
      </c>
      <c r="E17" s="3" t="s">
        <v>366</v>
      </c>
      <c r="P17" s="3"/>
      <c r="Q17" s="3"/>
      <c r="U17" s="3"/>
      <c r="V17" s="3"/>
    </row>
    <row r="18" spans="1:22" x14ac:dyDescent="0.25">
      <c r="A18" t="s">
        <v>116</v>
      </c>
      <c r="B18" t="s">
        <v>351</v>
      </c>
      <c r="C18" t="s">
        <v>367</v>
      </c>
      <c r="D18" s="3" t="s">
        <v>365</v>
      </c>
      <c r="E18" s="3" t="s">
        <v>366</v>
      </c>
      <c r="P18" s="3"/>
      <c r="Q18" s="3"/>
      <c r="U18" s="3"/>
      <c r="V18" s="3"/>
    </row>
    <row r="19" spans="1:22" x14ac:dyDescent="0.25">
      <c r="A19" t="s">
        <v>117</v>
      </c>
      <c r="B19" t="s">
        <v>351</v>
      </c>
      <c r="C19" t="s">
        <v>367</v>
      </c>
      <c r="D19" s="3" t="s">
        <v>365</v>
      </c>
      <c r="E19" s="3" t="s">
        <v>366</v>
      </c>
      <c r="P19" s="3"/>
      <c r="Q19" s="3"/>
      <c r="U19" s="3"/>
      <c r="V19" s="3"/>
    </row>
    <row r="20" spans="1:22" x14ac:dyDescent="0.25">
      <c r="A20" t="s">
        <v>22</v>
      </c>
      <c r="B20" t="s">
        <v>351</v>
      </c>
      <c r="C20" t="s">
        <v>367</v>
      </c>
      <c r="D20" s="3" t="s">
        <v>365</v>
      </c>
      <c r="E20" s="3" t="s">
        <v>366</v>
      </c>
      <c r="P20" s="3"/>
      <c r="Q20" s="3"/>
      <c r="U20" s="3"/>
      <c r="V20" s="3"/>
    </row>
    <row r="21" spans="1:22" x14ac:dyDescent="0.25">
      <c r="A21" t="s">
        <v>23</v>
      </c>
      <c r="B21" t="s">
        <v>351</v>
      </c>
      <c r="C21" t="s">
        <v>367</v>
      </c>
      <c r="D21" s="3" t="s">
        <v>365</v>
      </c>
      <c r="E21" s="3" t="s">
        <v>366</v>
      </c>
      <c r="P21" s="3"/>
      <c r="Q21" s="3"/>
      <c r="U21" s="3"/>
      <c r="V21" s="3"/>
    </row>
    <row r="22" spans="1:22" x14ac:dyDescent="0.25">
      <c r="A22" t="s">
        <v>24</v>
      </c>
      <c r="B22" t="s">
        <v>351</v>
      </c>
      <c r="C22" t="s">
        <v>367</v>
      </c>
      <c r="D22" s="3" t="s">
        <v>365</v>
      </c>
      <c r="E22" s="3" t="s">
        <v>366</v>
      </c>
      <c r="P22" s="3"/>
      <c r="Q22" s="3"/>
      <c r="U22" s="3"/>
      <c r="V22" s="3"/>
    </row>
    <row r="23" spans="1:22" x14ac:dyDescent="0.25">
      <c r="A23" t="s">
        <v>352</v>
      </c>
      <c r="B23" t="s">
        <v>351</v>
      </c>
      <c r="C23" t="s">
        <v>367</v>
      </c>
      <c r="D23" s="3" t="s">
        <v>365</v>
      </c>
      <c r="E23" s="3" t="s">
        <v>366</v>
      </c>
      <c r="P23" s="3"/>
      <c r="Q23" s="3"/>
      <c r="U23" s="3"/>
      <c r="V23" s="3"/>
    </row>
    <row r="24" spans="1:22" x14ac:dyDescent="0.25">
      <c r="A24" t="s">
        <v>353</v>
      </c>
      <c r="B24" t="s">
        <v>351</v>
      </c>
      <c r="C24" t="s">
        <v>367</v>
      </c>
      <c r="D24" s="3" t="s">
        <v>365</v>
      </c>
      <c r="E24" s="3" t="s">
        <v>366</v>
      </c>
      <c r="P24" s="3"/>
      <c r="Q24" s="3"/>
      <c r="U24" s="3"/>
      <c r="V24" s="3"/>
    </row>
    <row r="25" spans="1:22" x14ac:dyDescent="0.25">
      <c r="A25" t="s">
        <v>354</v>
      </c>
      <c r="B25" t="s">
        <v>351</v>
      </c>
      <c r="C25" t="s">
        <v>367</v>
      </c>
      <c r="D25" s="3" t="s">
        <v>365</v>
      </c>
      <c r="E25" s="3" t="s">
        <v>366</v>
      </c>
      <c r="P25" s="3"/>
      <c r="Q25" s="3"/>
      <c r="U25" s="3"/>
      <c r="V25" s="3"/>
    </row>
    <row r="26" spans="1:22" x14ac:dyDescent="0.25">
      <c r="A26" t="s">
        <v>355</v>
      </c>
      <c r="B26" t="s">
        <v>351</v>
      </c>
      <c r="C26" t="s">
        <v>367</v>
      </c>
      <c r="D26" s="3" t="s">
        <v>365</v>
      </c>
      <c r="E26" s="3" t="s">
        <v>366</v>
      </c>
      <c r="P26" s="3"/>
      <c r="Q26" s="3"/>
      <c r="U26" s="3"/>
      <c r="V26" s="3"/>
    </row>
    <row r="27" spans="1:22" x14ac:dyDescent="0.25">
      <c r="A27" t="s">
        <v>356</v>
      </c>
      <c r="B27" t="s">
        <v>351</v>
      </c>
      <c r="C27" t="s">
        <v>367</v>
      </c>
      <c r="D27" s="3" t="s">
        <v>365</v>
      </c>
      <c r="E27" s="3" t="s">
        <v>366</v>
      </c>
      <c r="P27" s="3"/>
      <c r="Q27" s="3"/>
      <c r="U27" s="3"/>
      <c r="V27" s="3"/>
    </row>
    <row r="28" spans="1:22" x14ac:dyDescent="0.25">
      <c r="A28" t="s">
        <v>357</v>
      </c>
      <c r="B28" t="s">
        <v>351</v>
      </c>
      <c r="C28" t="s">
        <v>367</v>
      </c>
      <c r="D28" s="3" t="s">
        <v>365</v>
      </c>
      <c r="E28" s="3" t="s">
        <v>366</v>
      </c>
      <c r="P28" s="3"/>
      <c r="Q28" s="3"/>
      <c r="U28" s="3"/>
      <c r="V28" s="3"/>
    </row>
    <row r="29" spans="1:22" x14ac:dyDescent="0.25">
      <c r="A29" t="s">
        <v>358</v>
      </c>
      <c r="B29" t="s">
        <v>351</v>
      </c>
      <c r="C29" t="s">
        <v>367</v>
      </c>
      <c r="D29" s="3" t="s">
        <v>365</v>
      </c>
      <c r="E29" s="3" t="s">
        <v>366</v>
      </c>
      <c r="P29" s="3"/>
      <c r="Q29" s="3"/>
      <c r="U29" s="3"/>
      <c r="V29" s="3"/>
    </row>
    <row r="30" spans="1:22" x14ac:dyDescent="0.25">
      <c r="A30" t="s">
        <v>359</v>
      </c>
      <c r="B30" t="s">
        <v>351</v>
      </c>
      <c r="C30" t="s">
        <v>367</v>
      </c>
      <c r="D30" s="3" t="s">
        <v>365</v>
      </c>
      <c r="E30" s="3" t="s">
        <v>366</v>
      </c>
      <c r="P30" s="3"/>
      <c r="Q30" s="3"/>
      <c r="U30" s="3"/>
      <c r="V30" s="3"/>
    </row>
    <row r="31" spans="1:22" x14ac:dyDescent="0.25">
      <c r="A31" t="s">
        <v>360</v>
      </c>
      <c r="B31" t="s">
        <v>351</v>
      </c>
      <c r="C31" t="s">
        <v>367</v>
      </c>
      <c r="D31" s="3" t="s">
        <v>365</v>
      </c>
      <c r="E31" s="3" t="s">
        <v>366</v>
      </c>
      <c r="P31" s="3"/>
      <c r="Q31" s="3"/>
      <c r="U31" s="3"/>
      <c r="V31" s="3"/>
    </row>
    <row r="32" spans="1:22" x14ac:dyDescent="0.25">
      <c r="A32" t="s">
        <v>120</v>
      </c>
      <c r="B32" t="s">
        <v>370</v>
      </c>
      <c r="C32" t="s">
        <v>367</v>
      </c>
      <c r="D32" s="3" t="s">
        <v>369</v>
      </c>
      <c r="E32" s="3" t="s">
        <v>349</v>
      </c>
      <c r="P32" s="3"/>
      <c r="Q32" s="3"/>
    </row>
    <row r="33" spans="1:17" x14ac:dyDescent="0.25">
      <c r="A33" t="s">
        <v>123</v>
      </c>
      <c r="B33" t="s">
        <v>370</v>
      </c>
      <c r="C33" t="s">
        <v>367</v>
      </c>
      <c r="D33" s="3" t="s">
        <v>369</v>
      </c>
      <c r="E33" s="3" t="s">
        <v>349</v>
      </c>
      <c r="P33" s="3"/>
      <c r="Q33" s="3"/>
    </row>
    <row r="34" spans="1:17" x14ac:dyDescent="0.25">
      <c r="A34" t="s">
        <v>135</v>
      </c>
      <c r="B34" t="s">
        <v>370</v>
      </c>
      <c r="C34" t="s">
        <v>367</v>
      </c>
      <c r="D34" s="3" t="s">
        <v>369</v>
      </c>
      <c r="E34" s="3" t="s">
        <v>349</v>
      </c>
      <c r="P34" s="3"/>
      <c r="Q34" s="3"/>
    </row>
    <row r="35" spans="1:17" x14ac:dyDescent="0.25">
      <c r="A35" t="s">
        <v>138</v>
      </c>
      <c r="B35" t="s">
        <v>370</v>
      </c>
      <c r="C35" t="s">
        <v>367</v>
      </c>
      <c r="D35" s="3" t="s">
        <v>369</v>
      </c>
      <c r="E35" s="3" t="s">
        <v>349</v>
      </c>
      <c r="P35" s="3"/>
      <c r="Q35" s="3"/>
    </row>
    <row r="36" spans="1:17" x14ac:dyDescent="0.25">
      <c r="A36" t="s">
        <v>144</v>
      </c>
      <c r="B36" t="s">
        <v>370</v>
      </c>
      <c r="C36" t="s">
        <v>367</v>
      </c>
      <c r="D36" s="3" t="s">
        <v>369</v>
      </c>
      <c r="E36" s="3" t="s">
        <v>349</v>
      </c>
      <c r="P36" s="3"/>
      <c r="Q36" s="3"/>
    </row>
    <row r="37" spans="1:17" x14ac:dyDescent="0.25">
      <c r="A37" t="s">
        <v>153</v>
      </c>
      <c r="B37" t="s">
        <v>370</v>
      </c>
      <c r="C37" t="s">
        <v>367</v>
      </c>
      <c r="D37" s="3" t="s">
        <v>369</v>
      </c>
      <c r="E37" s="3" t="s">
        <v>349</v>
      </c>
      <c r="P37" s="3"/>
      <c r="Q37" s="3"/>
    </row>
    <row r="38" spans="1:17" x14ac:dyDescent="0.25">
      <c r="A38" t="s">
        <v>159</v>
      </c>
      <c r="B38" t="s">
        <v>370</v>
      </c>
      <c r="C38" t="s">
        <v>367</v>
      </c>
      <c r="D38" s="3" t="s">
        <v>369</v>
      </c>
      <c r="E38" s="3" t="s">
        <v>349</v>
      </c>
      <c r="P38" s="3"/>
      <c r="Q38" s="3"/>
    </row>
    <row r="39" spans="1:17" x14ac:dyDescent="0.25">
      <c r="A39" t="s">
        <v>165</v>
      </c>
      <c r="B39" t="s">
        <v>370</v>
      </c>
      <c r="C39" t="s">
        <v>367</v>
      </c>
      <c r="D39" s="3" t="s">
        <v>369</v>
      </c>
      <c r="E39" s="3" t="s">
        <v>349</v>
      </c>
      <c r="P39" s="3"/>
      <c r="Q39" s="3"/>
    </row>
    <row r="40" spans="1:17" x14ac:dyDescent="0.25">
      <c r="A40" t="s">
        <v>174</v>
      </c>
      <c r="B40" t="s">
        <v>370</v>
      </c>
      <c r="C40" t="s">
        <v>367</v>
      </c>
      <c r="D40" s="3" t="s">
        <v>369</v>
      </c>
      <c r="E40" s="3" t="s">
        <v>349</v>
      </c>
      <c r="P40" s="3"/>
      <c r="Q40" s="3"/>
    </row>
    <row r="41" spans="1:17" x14ac:dyDescent="0.25">
      <c r="A41" t="s">
        <v>180</v>
      </c>
      <c r="B41" t="s">
        <v>370</v>
      </c>
      <c r="C41" t="s">
        <v>367</v>
      </c>
      <c r="D41" s="3" t="s">
        <v>369</v>
      </c>
      <c r="E41" s="3" t="s">
        <v>349</v>
      </c>
      <c r="P41" s="3"/>
      <c r="Q41" s="3"/>
    </row>
    <row r="42" spans="1:17" x14ac:dyDescent="0.25">
      <c r="A42" t="s">
        <v>183</v>
      </c>
      <c r="B42" t="s">
        <v>370</v>
      </c>
      <c r="C42" t="s">
        <v>367</v>
      </c>
      <c r="D42" s="3" t="s">
        <v>369</v>
      </c>
      <c r="E42" s="3" t="s">
        <v>349</v>
      </c>
      <c r="P42" s="3"/>
      <c r="Q42" s="3"/>
    </row>
    <row r="43" spans="1:17" x14ac:dyDescent="0.25">
      <c r="A43" t="s">
        <v>189</v>
      </c>
      <c r="B43" t="s">
        <v>370</v>
      </c>
      <c r="C43" t="s">
        <v>367</v>
      </c>
      <c r="D43" s="3" t="s">
        <v>369</v>
      </c>
      <c r="E43" s="3" t="s">
        <v>349</v>
      </c>
      <c r="P43" s="3"/>
      <c r="Q43" s="3"/>
    </row>
    <row r="44" spans="1:17" x14ac:dyDescent="0.25">
      <c r="A44" t="s">
        <v>195</v>
      </c>
      <c r="B44" t="s">
        <v>370</v>
      </c>
      <c r="C44" t="s">
        <v>367</v>
      </c>
      <c r="D44" s="3" t="s">
        <v>369</v>
      </c>
      <c r="E44" s="3" t="s">
        <v>349</v>
      </c>
      <c r="P44" s="3"/>
      <c r="Q44" s="3"/>
    </row>
    <row r="45" spans="1:17" x14ac:dyDescent="0.25">
      <c r="A45" t="s">
        <v>198</v>
      </c>
      <c r="B45" t="s">
        <v>370</v>
      </c>
      <c r="C45" t="s">
        <v>367</v>
      </c>
      <c r="D45" s="3" t="s">
        <v>369</v>
      </c>
      <c r="E45" s="3" t="s">
        <v>349</v>
      </c>
      <c r="P45" s="3"/>
      <c r="Q45" s="3"/>
    </row>
    <row r="46" spans="1:17" x14ac:dyDescent="0.25">
      <c r="A46" t="s">
        <v>204</v>
      </c>
      <c r="B46" t="s">
        <v>370</v>
      </c>
      <c r="C46" t="s">
        <v>367</v>
      </c>
      <c r="D46" s="3" t="s">
        <v>369</v>
      </c>
      <c r="E46" s="3" t="s">
        <v>349</v>
      </c>
      <c r="P46" s="3"/>
      <c r="Q46" s="3"/>
    </row>
    <row r="47" spans="1:17" x14ac:dyDescent="0.25">
      <c r="A47" t="s">
        <v>210</v>
      </c>
      <c r="B47" t="s">
        <v>370</v>
      </c>
      <c r="C47" t="s">
        <v>367</v>
      </c>
      <c r="D47" s="3" t="s">
        <v>369</v>
      </c>
      <c r="E47" s="3" t="s">
        <v>349</v>
      </c>
      <c r="P47" s="3"/>
      <c r="Q47" s="3"/>
    </row>
    <row r="48" spans="1:17" x14ac:dyDescent="0.25">
      <c r="A48" t="s">
        <v>213</v>
      </c>
      <c r="B48" t="s">
        <v>370</v>
      </c>
      <c r="C48" t="s">
        <v>367</v>
      </c>
      <c r="D48" s="3" t="s">
        <v>369</v>
      </c>
      <c r="E48" s="3" t="s">
        <v>349</v>
      </c>
      <c r="P48" s="3"/>
      <c r="Q48" s="3"/>
    </row>
    <row r="49" spans="1:17" x14ac:dyDescent="0.25">
      <c r="A49" t="s">
        <v>219</v>
      </c>
      <c r="B49" t="s">
        <v>370</v>
      </c>
      <c r="C49" t="s">
        <v>367</v>
      </c>
      <c r="D49" s="3" t="s">
        <v>369</v>
      </c>
      <c r="E49" s="3" t="s">
        <v>349</v>
      </c>
      <c r="P49" s="3"/>
      <c r="Q49" s="3"/>
    </row>
    <row r="50" spans="1:17" x14ac:dyDescent="0.25">
      <c r="A50" t="s">
        <v>225</v>
      </c>
      <c r="B50" t="s">
        <v>370</v>
      </c>
      <c r="C50" t="s">
        <v>367</v>
      </c>
      <c r="D50" s="3" t="s">
        <v>369</v>
      </c>
      <c r="E50" s="3" t="s">
        <v>349</v>
      </c>
      <c r="P50" s="3"/>
      <c r="Q50" s="3"/>
    </row>
    <row r="51" spans="1:17" x14ac:dyDescent="0.25">
      <c r="A51" t="s">
        <v>228</v>
      </c>
      <c r="B51" t="s">
        <v>370</v>
      </c>
      <c r="C51" t="s">
        <v>367</v>
      </c>
      <c r="D51" s="3" t="s">
        <v>369</v>
      </c>
      <c r="E51" s="3" t="s">
        <v>349</v>
      </c>
      <c r="P51" s="3"/>
      <c r="Q51" s="3"/>
    </row>
    <row r="52" spans="1:17" x14ac:dyDescent="0.25">
      <c r="A52" t="s">
        <v>234</v>
      </c>
      <c r="B52" t="s">
        <v>370</v>
      </c>
      <c r="C52" t="s">
        <v>367</v>
      </c>
      <c r="D52" s="3" t="s">
        <v>369</v>
      </c>
      <c r="E52" s="3" t="s">
        <v>349</v>
      </c>
      <c r="P52" s="3"/>
      <c r="Q52" s="3"/>
    </row>
    <row r="53" spans="1:17" x14ac:dyDescent="0.25">
      <c r="A53" t="s">
        <v>240</v>
      </c>
      <c r="B53" t="s">
        <v>370</v>
      </c>
      <c r="C53" t="s">
        <v>367</v>
      </c>
      <c r="D53" s="3" t="s">
        <v>369</v>
      </c>
      <c r="E53" s="3" t="s">
        <v>349</v>
      </c>
      <c r="P53" s="3"/>
      <c r="Q53" s="3"/>
    </row>
    <row r="54" spans="1:17" x14ac:dyDescent="0.25">
      <c r="A54" t="s">
        <v>243</v>
      </c>
      <c r="B54" t="s">
        <v>370</v>
      </c>
      <c r="C54" t="s">
        <v>367</v>
      </c>
      <c r="D54" s="3" t="s">
        <v>369</v>
      </c>
      <c r="E54" s="3" t="s">
        <v>349</v>
      </c>
      <c r="P54" s="3"/>
      <c r="Q54" s="3"/>
    </row>
    <row r="55" spans="1:17" x14ac:dyDescent="0.25">
      <c r="A55" t="s">
        <v>249</v>
      </c>
      <c r="B55" t="s">
        <v>370</v>
      </c>
      <c r="C55" t="s">
        <v>367</v>
      </c>
      <c r="D55" s="3" t="s">
        <v>369</v>
      </c>
      <c r="E55" s="3" t="s">
        <v>349</v>
      </c>
      <c r="P55" s="3"/>
      <c r="Q55" s="3"/>
    </row>
    <row r="56" spans="1:17" x14ac:dyDescent="0.25">
      <c r="A56" t="s">
        <v>255</v>
      </c>
      <c r="B56" t="s">
        <v>370</v>
      </c>
      <c r="C56" t="s">
        <v>367</v>
      </c>
      <c r="D56" s="3" t="s">
        <v>369</v>
      </c>
      <c r="E56" s="3" t="s">
        <v>349</v>
      </c>
      <c r="P56" s="3"/>
      <c r="Q56" s="3"/>
    </row>
    <row r="57" spans="1:17" x14ac:dyDescent="0.25">
      <c r="A57" t="s">
        <v>258</v>
      </c>
      <c r="B57" t="s">
        <v>370</v>
      </c>
      <c r="C57" t="s">
        <v>367</v>
      </c>
      <c r="D57" s="3" t="s">
        <v>369</v>
      </c>
      <c r="E57" s="3" t="s">
        <v>349</v>
      </c>
      <c r="P57" s="3"/>
      <c r="Q57" s="3"/>
    </row>
    <row r="58" spans="1:17" x14ac:dyDescent="0.25">
      <c r="A58" t="s">
        <v>264</v>
      </c>
      <c r="B58" t="s">
        <v>370</v>
      </c>
      <c r="C58" t="s">
        <v>367</v>
      </c>
      <c r="D58" s="3" t="s">
        <v>369</v>
      </c>
      <c r="E58" s="3" t="s">
        <v>349</v>
      </c>
      <c r="P58" s="3"/>
      <c r="Q58" s="3"/>
    </row>
    <row r="59" spans="1:17" x14ac:dyDescent="0.25">
      <c r="A59" t="s">
        <v>270</v>
      </c>
      <c r="B59" t="s">
        <v>370</v>
      </c>
      <c r="C59" t="s">
        <v>367</v>
      </c>
      <c r="D59" s="3" t="s">
        <v>369</v>
      </c>
      <c r="E59" s="3" t="s">
        <v>349</v>
      </c>
      <c r="P59" s="3"/>
      <c r="Q59" s="3"/>
    </row>
    <row r="60" spans="1:17" x14ac:dyDescent="0.25">
      <c r="A60" t="s">
        <v>273</v>
      </c>
      <c r="B60" t="s">
        <v>370</v>
      </c>
      <c r="C60" t="s">
        <v>367</v>
      </c>
      <c r="D60" s="3" t="s">
        <v>369</v>
      </c>
      <c r="E60" s="3" t="s">
        <v>349</v>
      </c>
      <c r="P60" s="3"/>
      <c r="Q60" s="3"/>
    </row>
    <row r="61" spans="1:17" x14ac:dyDescent="0.25">
      <c r="A61" t="s">
        <v>279</v>
      </c>
      <c r="B61" t="s">
        <v>370</v>
      </c>
      <c r="C61" t="s">
        <v>367</v>
      </c>
      <c r="D61" s="3" t="s">
        <v>369</v>
      </c>
      <c r="E61" s="3" t="s">
        <v>349</v>
      </c>
      <c r="P61" s="3"/>
      <c r="Q61" s="3"/>
    </row>
    <row r="62" spans="1:17" x14ac:dyDescent="0.25">
      <c r="A62" t="s">
        <v>119</v>
      </c>
      <c r="B62" t="s">
        <v>370</v>
      </c>
      <c r="C62" t="s">
        <v>367</v>
      </c>
      <c r="D62" s="3" t="s">
        <v>369</v>
      </c>
      <c r="E62" s="3" t="s">
        <v>349</v>
      </c>
      <c r="P62" s="3"/>
      <c r="Q62" s="3"/>
    </row>
    <row r="63" spans="1:17" x14ac:dyDescent="0.25">
      <c r="A63" t="s">
        <v>122</v>
      </c>
      <c r="B63" t="s">
        <v>370</v>
      </c>
      <c r="C63" t="s">
        <v>367</v>
      </c>
      <c r="D63" s="3" t="s">
        <v>369</v>
      </c>
      <c r="E63" s="3" t="s">
        <v>349</v>
      </c>
      <c r="P63" s="3"/>
      <c r="Q63" s="3"/>
    </row>
    <row r="64" spans="1:17" x14ac:dyDescent="0.25">
      <c r="A64" t="s">
        <v>134</v>
      </c>
      <c r="B64" t="s">
        <v>370</v>
      </c>
      <c r="C64" t="s">
        <v>367</v>
      </c>
      <c r="D64" s="3" t="s">
        <v>369</v>
      </c>
      <c r="E64" s="3" t="s">
        <v>349</v>
      </c>
      <c r="P64" s="3"/>
      <c r="Q64" s="3"/>
    </row>
    <row r="65" spans="1:17" x14ac:dyDescent="0.25">
      <c r="A65" t="s">
        <v>143</v>
      </c>
      <c r="B65" t="s">
        <v>370</v>
      </c>
      <c r="C65" t="s">
        <v>367</v>
      </c>
      <c r="D65" s="3" t="s">
        <v>369</v>
      </c>
      <c r="E65" s="3" t="s">
        <v>349</v>
      </c>
      <c r="P65" s="3"/>
      <c r="Q65" s="3"/>
    </row>
    <row r="66" spans="1:17" x14ac:dyDescent="0.25">
      <c r="A66" t="s">
        <v>152</v>
      </c>
      <c r="B66" t="s">
        <v>370</v>
      </c>
      <c r="C66" t="s">
        <v>367</v>
      </c>
      <c r="D66" s="3" t="s">
        <v>369</v>
      </c>
      <c r="E66" s="3" t="s">
        <v>349</v>
      </c>
      <c r="P66" s="3"/>
      <c r="Q66" s="3"/>
    </row>
    <row r="67" spans="1:17" x14ac:dyDescent="0.25">
      <c r="A67" t="s">
        <v>158</v>
      </c>
      <c r="B67" t="s">
        <v>370</v>
      </c>
      <c r="C67" t="s">
        <v>367</v>
      </c>
      <c r="D67" s="3" t="s">
        <v>369</v>
      </c>
      <c r="E67" s="3" t="s">
        <v>349</v>
      </c>
      <c r="P67" s="3"/>
      <c r="Q67" s="3"/>
    </row>
    <row r="68" spans="1:17" x14ac:dyDescent="0.25">
      <c r="A68" t="s">
        <v>164</v>
      </c>
      <c r="B68" t="s">
        <v>370</v>
      </c>
      <c r="C68" t="s">
        <v>367</v>
      </c>
      <c r="D68" s="3" t="s">
        <v>369</v>
      </c>
      <c r="E68" s="3" t="s">
        <v>349</v>
      </c>
      <c r="P68" s="3"/>
      <c r="Q68" s="3"/>
    </row>
    <row r="69" spans="1:17" x14ac:dyDescent="0.25">
      <c r="A69" t="s">
        <v>173</v>
      </c>
      <c r="B69" t="s">
        <v>370</v>
      </c>
      <c r="C69" t="s">
        <v>367</v>
      </c>
      <c r="D69" s="3" t="s">
        <v>369</v>
      </c>
      <c r="E69" s="3" t="s">
        <v>349</v>
      </c>
      <c r="P69" s="3"/>
      <c r="Q69" s="3"/>
    </row>
    <row r="70" spans="1:17" x14ac:dyDescent="0.25">
      <c r="A70" t="s">
        <v>179</v>
      </c>
      <c r="B70" t="s">
        <v>370</v>
      </c>
      <c r="C70" t="s">
        <v>367</v>
      </c>
      <c r="D70" s="3" t="s">
        <v>369</v>
      </c>
      <c r="E70" s="3" t="s">
        <v>349</v>
      </c>
      <c r="P70" s="3"/>
      <c r="Q70" s="3"/>
    </row>
    <row r="71" spans="1:17" x14ac:dyDescent="0.25">
      <c r="A71" t="s">
        <v>188</v>
      </c>
      <c r="B71" t="s">
        <v>370</v>
      </c>
      <c r="C71" t="s">
        <v>367</v>
      </c>
      <c r="D71" s="3" t="s">
        <v>369</v>
      </c>
      <c r="E71" s="3" t="s">
        <v>349</v>
      </c>
      <c r="P71" s="3"/>
      <c r="Q71" s="3"/>
    </row>
    <row r="72" spans="1:17" x14ac:dyDescent="0.25">
      <c r="A72" t="s">
        <v>194</v>
      </c>
      <c r="B72" t="s">
        <v>370</v>
      </c>
      <c r="C72" t="s">
        <v>367</v>
      </c>
      <c r="D72" s="3" t="s">
        <v>369</v>
      </c>
      <c r="E72" s="3" t="s">
        <v>349</v>
      </c>
      <c r="P72" s="3"/>
      <c r="Q72" s="3"/>
    </row>
    <row r="73" spans="1:17" x14ac:dyDescent="0.25">
      <c r="A73" t="s">
        <v>197</v>
      </c>
      <c r="B73" t="s">
        <v>370</v>
      </c>
      <c r="C73" t="s">
        <v>367</v>
      </c>
      <c r="D73" s="3" t="s">
        <v>369</v>
      </c>
      <c r="E73" s="3" t="s">
        <v>349</v>
      </c>
      <c r="P73" s="3"/>
      <c r="Q73" s="3"/>
    </row>
    <row r="74" spans="1:17" x14ac:dyDescent="0.25">
      <c r="A74" t="s">
        <v>203</v>
      </c>
      <c r="B74" t="s">
        <v>370</v>
      </c>
      <c r="C74" t="s">
        <v>367</v>
      </c>
      <c r="D74" s="3" t="s">
        <v>369</v>
      </c>
      <c r="E74" s="3" t="s">
        <v>349</v>
      </c>
    </row>
    <row r="75" spans="1:17" x14ac:dyDescent="0.25">
      <c r="A75" t="s">
        <v>209</v>
      </c>
      <c r="B75" t="s">
        <v>370</v>
      </c>
      <c r="C75" t="s">
        <v>367</v>
      </c>
      <c r="D75" s="3" t="s">
        <v>369</v>
      </c>
      <c r="E75" s="3" t="s">
        <v>349</v>
      </c>
    </row>
    <row r="76" spans="1:17" x14ac:dyDescent="0.25">
      <c r="A76" t="s">
        <v>218</v>
      </c>
      <c r="B76" t="s">
        <v>370</v>
      </c>
      <c r="C76" t="s">
        <v>367</v>
      </c>
      <c r="D76" s="3" t="s">
        <v>369</v>
      </c>
      <c r="E76" s="3" t="s">
        <v>349</v>
      </c>
    </row>
    <row r="77" spans="1:17" x14ac:dyDescent="0.25">
      <c r="A77" t="s">
        <v>224</v>
      </c>
      <c r="B77" t="s">
        <v>370</v>
      </c>
      <c r="C77" t="s">
        <v>367</v>
      </c>
      <c r="D77" s="3" t="s">
        <v>369</v>
      </c>
      <c r="E77" s="3" t="s">
        <v>349</v>
      </c>
    </row>
    <row r="78" spans="1:17" x14ac:dyDescent="0.25">
      <c r="A78" t="s">
        <v>227</v>
      </c>
      <c r="B78" t="s">
        <v>370</v>
      </c>
      <c r="C78" t="s">
        <v>367</v>
      </c>
      <c r="D78" s="3" t="s">
        <v>369</v>
      </c>
      <c r="E78" s="3" t="s">
        <v>349</v>
      </c>
    </row>
    <row r="79" spans="1:17" x14ac:dyDescent="0.25">
      <c r="A79" t="s">
        <v>233</v>
      </c>
      <c r="B79" t="s">
        <v>370</v>
      </c>
      <c r="C79" t="s">
        <v>367</v>
      </c>
      <c r="D79" s="3" t="s">
        <v>369</v>
      </c>
      <c r="E79" s="3" t="s">
        <v>349</v>
      </c>
    </row>
    <row r="80" spans="1:17" x14ac:dyDescent="0.25">
      <c r="A80" t="s">
        <v>239</v>
      </c>
      <c r="B80" t="s">
        <v>370</v>
      </c>
      <c r="C80" t="s">
        <v>367</v>
      </c>
      <c r="D80" s="3" t="s">
        <v>369</v>
      </c>
      <c r="E80" s="3" t="s">
        <v>349</v>
      </c>
    </row>
    <row r="81" spans="1:5" x14ac:dyDescent="0.25">
      <c r="A81" t="s">
        <v>248</v>
      </c>
      <c r="B81" t="s">
        <v>370</v>
      </c>
      <c r="C81" t="s">
        <v>367</v>
      </c>
      <c r="D81" s="3" t="s">
        <v>369</v>
      </c>
      <c r="E81" s="3" t="s">
        <v>349</v>
      </c>
    </row>
    <row r="82" spans="1:5" x14ac:dyDescent="0.25">
      <c r="A82" t="s">
        <v>254</v>
      </c>
      <c r="B82" t="s">
        <v>370</v>
      </c>
      <c r="C82" t="s">
        <v>367</v>
      </c>
      <c r="D82" s="3" t="s">
        <v>369</v>
      </c>
      <c r="E82" s="3" t="s">
        <v>349</v>
      </c>
    </row>
    <row r="83" spans="1:5" x14ac:dyDescent="0.25">
      <c r="A83" t="s">
        <v>257</v>
      </c>
      <c r="B83" t="s">
        <v>370</v>
      </c>
      <c r="C83" t="s">
        <v>367</v>
      </c>
      <c r="D83" s="3" t="s">
        <v>369</v>
      </c>
      <c r="E83" s="3" t="s">
        <v>349</v>
      </c>
    </row>
    <row r="84" spans="1:5" x14ac:dyDescent="0.25">
      <c r="A84" t="s">
        <v>263</v>
      </c>
      <c r="B84" t="s">
        <v>370</v>
      </c>
      <c r="C84" t="s">
        <v>367</v>
      </c>
      <c r="D84" s="3" t="s">
        <v>369</v>
      </c>
      <c r="E84" s="3" t="s">
        <v>349</v>
      </c>
    </row>
    <row r="85" spans="1:5" x14ac:dyDescent="0.25">
      <c r="A85" t="s">
        <v>269</v>
      </c>
      <c r="B85" t="s">
        <v>370</v>
      </c>
      <c r="C85" t="s">
        <v>367</v>
      </c>
      <c r="D85" s="3" t="s">
        <v>369</v>
      </c>
      <c r="E85" s="3" t="s">
        <v>349</v>
      </c>
    </row>
    <row r="86" spans="1:5" x14ac:dyDescent="0.25">
      <c r="A86" t="s">
        <v>278</v>
      </c>
      <c r="B86" t="s">
        <v>370</v>
      </c>
      <c r="C86" t="s">
        <v>367</v>
      </c>
      <c r="D86" s="3" t="s">
        <v>369</v>
      </c>
      <c r="E86" s="3" t="s">
        <v>349</v>
      </c>
    </row>
    <row r="87" spans="1:5" x14ac:dyDescent="0.25">
      <c r="A87" t="s">
        <v>118</v>
      </c>
      <c r="B87" t="s">
        <v>370</v>
      </c>
      <c r="C87" t="s">
        <v>367</v>
      </c>
      <c r="D87" s="3" t="s">
        <v>369</v>
      </c>
      <c r="E87" s="3" t="s">
        <v>349</v>
      </c>
    </row>
    <row r="88" spans="1:5" x14ac:dyDescent="0.25">
      <c r="A88" t="s">
        <v>121</v>
      </c>
      <c r="B88" t="s">
        <v>370</v>
      </c>
      <c r="C88" t="s">
        <v>367</v>
      </c>
      <c r="D88" s="3" t="s">
        <v>369</v>
      </c>
      <c r="E88" s="3" t="s">
        <v>349</v>
      </c>
    </row>
    <row r="89" spans="1:5" x14ac:dyDescent="0.25">
      <c r="A89" t="s">
        <v>133</v>
      </c>
      <c r="B89" t="s">
        <v>370</v>
      </c>
      <c r="C89" t="s">
        <v>367</v>
      </c>
      <c r="D89" s="3" t="s">
        <v>369</v>
      </c>
      <c r="E89" s="3" t="s">
        <v>349</v>
      </c>
    </row>
    <row r="90" spans="1:5" x14ac:dyDescent="0.25">
      <c r="A90" t="s">
        <v>142</v>
      </c>
      <c r="B90" t="s">
        <v>370</v>
      </c>
      <c r="C90" t="s">
        <v>367</v>
      </c>
      <c r="D90" s="3" t="s">
        <v>369</v>
      </c>
      <c r="E90" s="3" t="s">
        <v>349</v>
      </c>
    </row>
    <row r="91" spans="1:5" x14ac:dyDescent="0.25">
      <c r="A91" t="s">
        <v>151</v>
      </c>
      <c r="B91" t="s">
        <v>370</v>
      </c>
      <c r="C91" t="s">
        <v>367</v>
      </c>
      <c r="D91" s="3" t="s">
        <v>369</v>
      </c>
      <c r="E91" s="3" t="s">
        <v>349</v>
      </c>
    </row>
    <row r="92" spans="1:5" x14ac:dyDescent="0.25">
      <c r="A92" t="s">
        <v>157</v>
      </c>
      <c r="B92" t="s">
        <v>370</v>
      </c>
      <c r="C92" t="s">
        <v>367</v>
      </c>
      <c r="D92" s="3" t="s">
        <v>369</v>
      </c>
      <c r="E92" s="3" t="s">
        <v>349</v>
      </c>
    </row>
    <row r="93" spans="1:5" x14ac:dyDescent="0.25">
      <c r="A93" t="s">
        <v>163</v>
      </c>
      <c r="B93" t="s">
        <v>370</v>
      </c>
      <c r="C93" t="s">
        <v>367</v>
      </c>
      <c r="D93" s="3" t="s">
        <v>369</v>
      </c>
      <c r="E93" s="3" t="s">
        <v>349</v>
      </c>
    </row>
    <row r="94" spans="1:5" x14ac:dyDescent="0.25">
      <c r="A94" t="s">
        <v>172</v>
      </c>
      <c r="B94" t="s">
        <v>370</v>
      </c>
      <c r="C94" t="s">
        <v>367</v>
      </c>
      <c r="D94" s="3" t="s">
        <v>369</v>
      </c>
      <c r="E94" s="3" t="s">
        <v>349</v>
      </c>
    </row>
    <row r="95" spans="1:5" x14ac:dyDescent="0.25">
      <c r="A95" t="s">
        <v>178</v>
      </c>
      <c r="B95" t="s">
        <v>370</v>
      </c>
      <c r="C95" t="s">
        <v>367</v>
      </c>
      <c r="D95" s="3" t="s">
        <v>369</v>
      </c>
      <c r="E95" s="3" t="s">
        <v>349</v>
      </c>
    </row>
    <row r="96" spans="1:5" x14ac:dyDescent="0.25">
      <c r="A96" t="s">
        <v>187</v>
      </c>
      <c r="B96" t="s">
        <v>370</v>
      </c>
      <c r="C96" t="s">
        <v>367</v>
      </c>
      <c r="D96" s="3" t="s">
        <v>369</v>
      </c>
      <c r="E96" s="3" t="s">
        <v>349</v>
      </c>
    </row>
    <row r="97" spans="1:5" x14ac:dyDescent="0.25">
      <c r="A97" t="s">
        <v>193</v>
      </c>
      <c r="B97" t="s">
        <v>370</v>
      </c>
      <c r="C97" t="s">
        <v>367</v>
      </c>
      <c r="D97" s="3" t="s">
        <v>369</v>
      </c>
      <c r="E97" s="3" t="s">
        <v>349</v>
      </c>
    </row>
    <row r="98" spans="1:5" x14ac:dyDescent="0.25">
      <c r="A98" t="s">
        <v>196</v>
      </c>
      <c r="B98" t="s">
        <v>370</v>
      </c>
      <c r="C98" t="s">
        <v>367</v>
      </c>
      <c r="D98" s="3" t="s">
        <v>369</v>
      </c>
      <c r="E98" s="3" t="s">
        <v>349</v>
      </c>
    </row>
    <row r="99" spans="1:5" x14ac:dyDescent="0.25">
      <c r="A99" t="s">
        <v>202</v>
      </c>
      <c r="B99" t="s">
        <v>370</v>
      </c>
      <c r="C99" t="s">
        <v>367</v>
      </c>
      <c r="D99" s="3" t="s">
        <v>369</v>
      </c>
      <c r="E99" s="3" t="s">
        <v>349</v>
      </c>
    </row>
    <row r="100" spans="1:5" x14ac:dyDescent="0.25">
      <c r="A100" t="s">
        <v>208</v>
      </c>
      <c r="B100" t="s">
        <v>370</v>
      </c>
      <c r="C100" t="s">
        <v>367</v>
      </c>
      <c r="D100" s="3" t="s">
        <v>369</v>
      </c>
      <c r="E100" s="3" t="s">
        <v>349</v>
      </c>
    </row>
    <row r="101" spans="1:5" x14ac:dyDescent="0.25">
      <c r="A101" t="s">
        <v>217</v>
      </c>
      <c r="B101" t="s">
        <v>370</v>
      </c>
      <c r="C101" t="s">
        <v>367</v>
      </c>
      <c r="D101" s="3" t="s">
        <v>369</v>
      </c>
      <c r="E101" s="3" t="s">
        <v>349</v>
      </c>
    </row>
    <row r="102" spans="1:5" x14ac:dyDescent="0.25">
      <c r="A102" t="s">
        <v>223</v>
      </c>
      <c r="B102" t="s">
        <v>370</v>
      </c>
      <c r="C102" t="s">
        <v>367</v>
      </c>
      <c r="D102" s="3" t="s">
        <v>369</v>
      </c>
      <c r="E102" s="3" t="s">
        <v>349</v>
      </c>
    </row>
    <row r="103" spans="1:5" x14ac:dyDescent="0.25">
      <c r="A103" t="s">
        <v>226</v>
      </c>
      <c r="B103" t="s">
        <v>370</v>
      </c>
      <c r="C103" t="s">
        <v>367</v>
      </c>
      <c r="D103" s="3" t="s">
        <v>369</v>
      </c>
      <c r="E103" s="3" t="s">
        <v>349</v>
      </c>
    </row>
    <row r="104" spans="1:5" x14ac:dyDescent="0.25">
      <c r="A104" t="s">
        <v>232</v>
      </c>
      <c r="B104" t="s">
        <v>370</v>
      </c>
      <c r="C104" t="s">
        <v>367</v>
      </c>
      <c r="D104" s="3" t="s">
        <v>369</v>
      </c>
      <c r="E104" s="3" t="s">
        <v>349</v>
      </c>
    </row>
    <row r="105" spans="1:5" x14ac:dyDescent="0.25">
      <c r="A105" t="s">
        <v>238</v>
      </c>
      <c r="B105" t="s">
        <v>370</v>
      </c>
      <c r="C105" t="s">
        <v>367</v>
      </c>
      <c r="D105" s="3" t="s">
        <v>369</v>
      </c>
      <c r="E105" s="3" t="s">
        <v>349</v>
      </c>
    </row>
    <row r="106" spans="1:5" x14ac:dyDescent="0.25">
      <c r="A106" t="s">
        <v>247</v>
      </c>
      <c r="B106" t="s">
        <v>370</v>
      </c>
      <c r="C106" t="s">
        <v>367</v>
      </c>
      <c r="D106" s="3" t="s">
        <v>369</v>
      </c>
      <c r="E106" s="3" t="s">
        <v>349</v>
      </c>
    </row>
    <row r="107" spans="1:5" x14ac:dyDescent="0.25">
      <c r="A107" t="s">
        <v>253</v>
      </c>
      <c r="B107" t="s">
        <v>370</v>
      </c>
      <c r="C107" t="s">
        <v>367</v>
      </c>
      <c r="D107" s="3" t="s">
        <v>369</v>
      </c>
      <c r="E107" s="3" t="s">
        <v>349</v>
      </c>
    </row>
    <row r="108" spans="1:5" x14ac:dyDescent="0.25">
      <c r="A108" t="s">
        <v>256</v>
      </c>
      <c r="B108" t="s">
        <v>370</v>
      </c>
      <c r="C108" t="s">
        <v>367</v>
      </c>
      <c r="D108" s="3" t="s">
        <v>369</v>
      </c>
      <c r="E108" s="3" t="s">
        <v>349</v>
      </c>
    </row>
    <row r="109" spans="1:5" x14ac:dyDescent="0.25">
      <c r="A109" t="s">
        <v>262</v>
      </c>
      <c r="B109" t="s">
        <v>370</v>
      </c>
      <c r="C109" t="s">
        <v>367</v>
      </c>
      <c r="D109" s="3" t="s">
        <v>369</v>
      </c>
      <c r="E109" s="3" t="s">
        <v>349</v>
      </c>
    </row>
    <row r="110" spans="1:5" x14ac:dyDescent="0.25">
      <c r="A110" t="s">
        <v>268</v>
      </c>
      <c r="B110" t="s">
        <v>370</v>
      </c>
      <c r="C110" t="s">
        <v>367</v>
      </c>
      <c r="D110" s="3" t="s">
        <v>369</v>
      </c>
      <c r="E110" s="3" t="s">
        <v>349</v>
      </c>
    </row>
    <row r="111" spans="1:5" x14ac:dyDescent="0.25">
      <c r="A111" t="s">
        <v>277</v>
      </c>
      <c r="B111" t="s">
        <v>370</v>
      </c>
      <c r="C111" t="s">
        <v>367</v>
      </c>
      <c r="D111" s="3" t="s">
        <v>369</v>
      </c>
      <c r="E111" s="3" t="s">
        <v>349</v>
      </c>
    </row>
  </sheetData>
  <sortState xmlns:xlrd2="http://schemas.microsoft.com/office/spreadsheetml/2017/richdata2" ref="A2:E46">
    <sortCondition ref="A2:A46"/>
  </sortState>
  <phoneticPr fontId="2" type="noConversion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9</vt:i4>
      </vt:variant>
    </vt:vector>
  </HeadingPairs>
  <TitlesOfParts>
    <vt:vector size="9" baseType="lpstr">
      <vt:lpstr>ControlConfig</vt:lpstr>
      <vt:lpstr>StorageSteps</vt:lpstr>
      <vt:lpstr>Bus</vt:lpstr>
      <vt:lpstr>Line</vt:lpstr>
      <vt:lpstr>Loads</vt:lpstr>
      <vt:lpstr>PV</vt:lpstr>
      <vt:lpstr>StatGen</vt:lpstr>
      <vt:lpstr>StorageCandidates</vt:lpstr>
      <vt:lpstr>Vars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Dominik PrzepiĂłrka</dc:creator>
  <cp:lastModifiedBy>Dominik PrzepiĂłrka</cp:lastModifiedBy>
  <dcterms:created xsi:type="dcterms:W3CDTF">2025-09-25T10:52:07Z</dcterms:created>
  <dcterms:modified xsi:type="dcterms:W3CDTF">2026-05-11T11:56:51Z</dcterms:modified>
</cp:coreProperties>
</file>